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🧪 Results" sheetId="2" state="visible" r:id="rId2"/>
    <sheet xmlns:r="http://schemas.openxmlformats.org/officeDocument/2006/relationships" name="🐛 Defect Log" sheetId="3" state="visible" r:id="rId3"/>
    <sheet xmlns:r="http://schemas.openxmlformats.org/officeDocument/2006/relationships" name="📋 Execution Log" sheetId="4" state="visible" r:id="rId4"/>
    <sheet xmlns:r="http://schemas.openxmlformats.org/officeDocument/2006/relationships" name="📦 Tes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6B7280"/>
      <sz val="10"/>
    </font>
    <font>
      <name val="Arial"/>
      <b val="1"/>
      <color rgb="00FFFFFF"/>
      <sz val="11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sz val="10"/>
    </font>
    <font>
      <name val="Arial"/>
      <color rgb="00166534"/>
      <sz val="10"/>
    </font>
    <font>
      <name val="Arial"/>
      <color rgb="00991B1B"/>
      <sz val="10"/>
    </font>
    <font>
      <name val="Arial"/>
      <color rgb="0092400E"/>
      <sz val="10"/>
    </font>
    <font>
      <name val="Arial"/>
      <color rgb="00374151"/>
      <sz val="10"/>
    </font>
    <font>
      <name val="Arial"/>
      <color rgb="001D4ED8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2E6DA4"/>
      </patternFill>
    </fill>
    <fill>
      <patternFill patternType="solid">
        <fgColor rgb="00FFFFFF"/>
      </patternFill>
    </fill>
    <fill>
      <patternFill patternType="solid">
        <fgColor rgb="00F0F9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8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9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11" fillId="1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pivotButton="0" quotePrefix="0" xfId="0"/>
    <xf numFmtId="0" fontId="12" fillId="5" borderId="1" pivotButton="0" quotePrefix="0" xfId="0"/>
    <xf numFmtId="0" fontId="13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14" fillId="1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 ht="40" customHeight="1">
      <c r="A1" s="1" t="inlineStr">
        <is>
          <t>VIVID CRM — SQA MASTER TEST TRACKER  |  Banking Sector  |  Multi-Tenant</t>
        </is>
      </c>
    </row>
    <row r="2" ht="20" customHeight="1">
      <c r="A2" s="2" t="inlineStr">
        <is>
          <t>ISO/IEC 25010 Aligned  |  Date: 10-Jun-2026  |  Version: 1.0</t>
        </is>
      </c>
    </row>
    <row r="3" ht="10" customHeight="1"/>
    <row r="4" ht="28" customHeight="1">
      <c r="A4" s="3" t="inlineStr">
        <is>
          <t>TEST AREA</t>
        </is>
      </c>
      <c r="B4" s="3" t="inlineStr">
        <is>
          <t>TOTAL</t>
        </is>
      </c>
      <c r="C4" s="3" t="inlineStr">
        <is>
          <t>PASS</t>
        </is>
      </c>
      <c r="D4" s="3" t="inlineStr">
        <is>
          <t>FAIL</t>
        </is>
      </c>
      <c r="E4" s="3" t="inlineStr">
        <is>
          <t>WARN</t>
        </is>
      </c>
      <c r="F4" s="3" t="inlineStr">
        <is>
          <t>PASS RATE</t>
        </is>
      </c>
    </row>
    <row r="5" ht="22" customHeight="1">
      <c r="A5" s="4" t="inlineStr">
        <is>
          <t>01 — Authentication</t>
        </is>
      </c>
      <c r="B5" s="5">
        <f>COUNTIF('🧪 Results'!B:B,"*SA-*")</f>
        <v/>
      </c>
      <c r="C5" s="5">
        <f>COUNTIFS('🧪 Results'!B:B,"*SA-*",'🧪 Results'!E:E,"PASS")</f>
        <v/>
      </c>
      <c r="D5" s="5">
        <f>COUNTIFS('🧪 Results'!B:B,"*SA-*",'🧪 Results'!E:E,"FAIL")</f>
        <v/>
      </c>
      <c r="E5" s="5">
        <f>COUNTIFS('🧪 Results'!B:B,"*SA-*",'🧪 Results'!E:E,"WARN")</f>
        <v/>
      </c>
      <c r="F5" s="5">
        <f>IFERROR(TEXT(C5/B5,"0.0%"),"-")</f>
        <v/>
      </c>
    </row>
    <row r="6" ht="22" customHeight="1">
      <c r="A6" s="6" t="inlineStr">
        <is>
          <t>02 — Tenant Provisioning</t>
        </is>
      </c>
      <c r="B6" s="7">
        <f>COUNTIF('🧪 Results'!B:B,"*SA-*")</f>
        <v/>
      </c>
      <c r="C6" s="7">
        <f>COUNTIFS('🧪 Results'!B:B,"*SA-*",'🧪 Results'!E:E,"PASS")</f>
        <v/>
      </c>
      <c r="D6" s="7">
        <f>COUNTIFS('🧪 Results'!B:B,"*SA-*",'🧪 Results'!E:E,"FAIL")</f>
        <v/>
      </c>
      <c r="E6" s="7">
        <f>COUNTIFS('🧪 Results'!B:B,"*SA-*",'🧪 Results'!E:E,"WARN")</f>
        <v/>
      </c>
      <c r="F6" s="7">
        <f>IFERROR(TEXT(C6/B6,"0.0%"),"-")</f>
        <v/>
      </c>
    </row>
    <row r="7" ht="22" customHeight="1">
      <c r="A7" s="4" t="inlineStr">
        <is>
          <t>03 — User Hierarchy (Admin)</t>
        </is>
      </c>
      <c r="B7" s="5">
        <f>COUNTIF('🧪 Results'!B:B,"*TA-*")</f>
        <v/>
      </c>
      <c r="C7" s="5">
        <f>COUNTIFS('🧪 Results'!B:B,"*TA-*",'🧪 Results'!E:E,"PASS")</f>
        <v/>
      </c>
      <c r="D7" s="5">
        <f>COUNTIFS('🧪 Results'!B:B,"*TA-*",'🧪 Results'!E:E,"FAIL")</f>
        <v/>
      </c>
      <c r="E7" s="5">
        <f>COUNTIFS('🧪 Results'!B:B,"*TA-*",'🧪 Results'!E:E,"WARN")</f>
        <v/>
      </c>
      <c r="F7" s="5">
        <f>IFERROR(TEXT(C7/B7,"0.0%"),"-")</f>
        <v/>
      </c>
    </row>
    <row r="8" ht="22" customHeight="1">
      <c r="A8" s="6" t="inlineStr">
        <is>
          <t>04 — RBAC &amp; Visibility</t>
        </is>
      </c>
      <c r="B8" s="7">
        <f>COUNTIF('🧪 Results'!B:B,"*RB-*")</f>
        <v/>
      </c>
      <c r="C8" s="7">
        <f>COUNTIFS('🧪 Results'!B:B,"*RB-*",'🧪 Results'!E:E,"PASS")</f>
        <v/>
      </c>
      <c r="D8" s="7">
        <f>COUNTIFS('🧪 Results'!B:B,"*RB-*",'🧪 Results'!E:E,"FAIL")</f>
        <v/>
      </c>
      <c r="E8" s="7">
        <f>COUNTIFS('🧪 Results'!B:B,"*RB-*",'🧪 Results'!E:E,"WARN")</f>
        <v/>
      </c>
      <c r="F8" s="7">
        <f>IFERROR(TEXT(C8/B8,"0.0%"),"-")</f>
        <v/>
      </c>
    </row>
    <row r="9" ht="22" customHeight="1">
      <c r="A9" s="4" t="inlineStr">
        <is>
          <t>05 — Contacts Module</t>
        </is>
      </c>
      <c r="B9" s="5">
        <f>COUNTIF('🧪 Results'!B:B,"*M01*")</f>
        <v/>
      </c>
      <c r="C9" s="5">
        <f>COUNTIFS('🧪 Results'!B:B,"*M01*",'🧪 Results'!E:E,"PASS")</f>
        <v/>
      </c>
      <c r="D9" s="5">
        <f>COUNTIFS('🧪 Results'!B:B,"*M01*",'🧪 Results'!E:E,"FAIL")</f>
        <v/>
      </c>
      <c r="E9" s="5">
        <f>COUNTIFS('🧪 Results'!B:B,"*M01*",'🧪 Results'!E:E,"WARN")</f>
        <v/>
      </c>
      <c r="F9" s="5">
        <f>IFERROR(TEXT(C9/B9,"0.0%"),"-")</f>
        <v/>
      </c>
    </row>
    <row r="10" ht="22" customHeight="1">
      <c r="A10" s="6" t="inlineStr">
        <is>
          <t>06 — Deals &amp; Pipelines</t>
        </is>
      </c>
      <c r="B10" s="7">
        <f>COUNTIF('🧪 Results'!B:B,"*M03*")</f>
        <v/>
      </c>
      <c r="C10" s="7">
        <f>COUNTIFS('🧪 Results'!B:B,"*M03*",'🧪 Results'!E:E,"PASS")</f>
        <v/>
      </c>
      <c r="D10" s="7">
        <f>COUNTIFS('🧪 Results'!B:B,"*M03*",'🧪 Results'!E:E,"FAIL")</f>
        <v/>
      </c>
      <c r="E10" s="7">
        <f>COUNTIFS('🧪 Results'!B:B,"*M03*",'🧪 Results'!E:E,"WARN")</f>
        <v/>
      </c>
      <c r="F10" s="7">
        <f>IFERROR(TEXT(C10/B10,"0.0%"),"-")</f>
        <v/>
      </c>
    </row>
    <row r="11" ht="22" customHeight="1">
      <c r="A11" s="4" t="inlineStr">
        <is>
          <t>07 — Activities</t>
        </is>
      </c>
      <c r="B11" s="5">
        <f>COUNTIF('🧪 Results'!B:B,"*M04*")</f>
        <v/>
      </c>
      <c r="C11" s="5">
        <f>COUNTIFS('🧪 Results'!B:B,"*M04*",'🧪 Results'!E:E,"PASS")</f>
        <v/>
      </c>
      <c r="D11" s="5">
        <f>COUNTIFS('🧪 Results'!B:B,"*M04*",'🧪 Results'!E:E,"FAIL")</f>
        <v/>
      </c>
      <c r="E11" s="5">
        <f>COUNTIFS('🧪 Results'!B:B,"*M04*",'🧪 Results'!E:E,"WARN")</f>
        <v/>
      </c>
      <c r="F11" s="5">
        <f>IFERROR(TEXT(C11/B11,"0.0%"),"-")</f>
        <v/>
      </c>
    </row>
    <row r="12" ht="22" customHeight="1">
      <c r="A12" s="6" t="inlineStr">
        <is>
          <t>08 — Tickets &amp; Help Desk</t>
        </is>
      </c>
      <c r="B12" s="7">
        <f>COUNTIF('🧪 Results'!B:B,"*M05*")</f>
        <v/>
      </c>
      <c r="C12" s="7">
        <f>COUNTIFS('🧪 Results'!B:B,"*M05*",'🧪 Results'!E:E,"PASS")</f>
        <v/>
      </c>
      <c r="D12" s="7">
        <f>COUNTIFS('🧪 Results'!B:B,"*M05*",'🧪 Results'!E:E,"FAIL")</f>
        <v/>
      </c>
      <c r="E12" s="7">
        <f>COUNTIFS('🧪 Results'!B:B,"*M05*",'🧪 Results'!E:E,"WARN")</f>
        <v/>
      </c>
      <c r="F12" s="7">
        <f>IFERROR(TEXT(C12/B12,"0.0%"),"-")</f>
        <v/>
      </c>
    </row>
    <row r="13" ht="22" customHeight="1">
      <c r="A13" s="4" t="inlineStr">
        <is>
          <t>09 — CSAT &amp; Audit Log</t>
        </is>
      </c>
      <c r="B13" s="5">
        <f>COUNTIF('🧪 Results'!B:B,"*M06*")</f>
        <v/>
      </c>
      <c r="C13" s="5">
        <f>COUNTIFS('🧪 Results'!B:B,"*M06*",'🧪 Results'!E:E,"PASS")</f>
        <v/>
      </c>
      <c r="D13" s="5">
        <f>COUNTIFS('🧪 Results'!B:B,"*M06*",'🧪 Results'!E:E,"FAIL")</f>
        <v/>
      </c>
      <c r="E13" s="5">
        <f>COUNTIFS('🧪 Results'!B:B,"*M06*",'🧪 Results'!E:E,"WARN")</f>
        <v/>
      </c>
      <c r="F13" s="5">
        <f>IFERROR(TEXT(C13/B13,"0.0%"),"-")</f>
        <v/>
      </c>
    </row>
    <row r="14" ht="22" customHeight="1">
      <c r="A14" s="6" t="inlineStr">
        <is>
          <t>10 — Analytics</t>
        </is>
      </c>
      <c r="B14" s="7">
        <f>COUNTIF('🧪 Results'!B:B,"*M07*")</f>
        <v/>
      </c>
      <c r="C14" s="7">
        <f>COUNTIFS('🧪 Results'!B:B,"*M07*",'🧪 Results'!E:E,"PASS")</f>
        <v/>
      </c>
      <c r="D14" s="7">
        <f>COUNTIFS('🧪 Results'!B:B,"*M07*",'🧪 Results'!E:E,"FAIL")</f>
        <v/>
      </c>
      <c r="E14" s="7">
        <f>COUNTIFS('🧪 Results'!B:B,"*M07*",'🧪 Results'!E:E,"WARN")</f>
        <v/>
      </c>
      <c r="F14" s="7">
        <f>IFERROR(TEXT(C14/B14,"0.0%"),"-")</f>
        <v/>
      </c>
    </row>
    <row r="15" ht="22" customHeight="1">
      <c r="A15" s="4" t="inlineStr">
        <is>
          <t>11 — Sales &amp; Invoicing</t>
        </is>
      </c>
      <c r="B15" s="5">
        <f>COUNTIF('🧪 Results'!B:B,"*M08*")</f>
        <v/>
      </c>
      <c r="C15" s="5">
        <f>COUNTIFS('🧪 Results'!B:B,"*M08*",'🧪 Results'!E:E,"PASS")</f>
        <v/>
      </c>
      <c r="D15" s="5">
        <f>COUNTIFS('🧪 Results'!B:B,"*M08*",'🧪 Results'!E:E,"FAIL")</f>
        <v/>
      </c>
      <c r="E15" s="5">
        <f>COUNTIFS('🧪 Results'!B:B,"*M08*",'🧪 Results'!E:E,"WARN")</f>
        <v/>
      </c>
      <c r="F15" s="5">
        <f>IFERROR(TEXT(C15/B15,"0.0%"),"-")</f>
        <v/>
      </c>
    </row>
    <row r="16" ht="22" customHeight="1">
      <c r="A16" s="6" t="inlineStr">
        <is>
          <t>12 — Security (OWASP)</t>
        </is>
      </c>
      <c r="B16" s="7">
        <f>COUNTIF('🧪 Results'!B:B,"*SEC*")</f>
        <v/>
      </c>
      <c r="C16" s="7">
        <f>COUNTIFS('🧪 Results'!B:B,"*SEC*",'🧪 Results'!E:E,"PASS")</f>
        <v/>
      </c>
      <c r="D16" s="7">
        <f>COUNTIFS('🧪 Results'!B:B,"*SEC*",'🧪 Results'!E:E,"FAIL")</f>
        <v/>
      </c>
      <c r="E16" s="7">
        <f>COUNTIFS('🧪 Results'!B:B,"*SEC*",'🧪 Results'!E:E,"WARN")</f>
        <v/>
      </c>
      <c r="F16" s="7">
        <f>IFERROR(TEXT(C16/B16,"0.0%"),"-")</f>
        <v/>
      </c>
    </row>
    <row r="17" ht="22" customHeight="1">
      <c r="A17" s="4" t="inlineStr">
        <is>
          <t>13 — UI/UX Quality</t>
        </is>
      </c>
      <c r="B17" s="5">
        <f>COUNTIF('🧪 Results'!B:B,"*UX-*")</f>
        <v/>
      </c>
      <c r="C17" s="5">
        <f>COUNTIFS('🧪 Results'!B:B,"*UX-*",'🧪 Results'!E:E,"PASS")</f>
        <v/>
      </c>
      <c r="D17" s="5">
        <f>COUNTIFS('🧪 Results'!B:B,"*UX-*",'🧪 Results'!E:E,"FAIL")</f>
        <v/>
      </c>
      <c r="E17" s="5">
        <f>COUNTIFS('🧪 Results'!B:B,"*UX-*",'🧪 Results'!E:E,"WARN")</f>
        <v/>
      </c>
      <c r="F17" s="5">
        <f>IFERROR(TEXT(C17/B17,"0.0%"),"-")</f>
        <v/>
      </c>
    </row>
    <row r="18" ht="22" customHeight="1">
      <c r="A18" s="6" t="inlineStr">
        <is>
          <t>14 — Cross-Tenant Isolation</t>
        </is>
      </c>
      <c r="B18" s="7">
        <f>COUNTIF('🧪 Results'!B:B,"*RB-0*")</f>
        <v/>
      </c>
      <c r="C18" s="7">
        <f>COUNTIFS('🧪 Results'!B:B,"*RB-0*",'🧪 Results'!E:E,"PASS")</f>
        <v/>
      </c>
      <c r="D18" s="7">
        <f>COUNTIFS('🧪 Results'!B:B,"*RB-0*",'🧪 Results'!E:E,"FAIL")</f>
        <v/>
      </c>
      <c r="E18" s="7">
        <f>COUNTIFS('🧪 Results'!B:B,"*RB-0*",'🧪 Results'!E:E,"WARN")</f>
        <v/>
      </c>
      <c r="F18" s="7">
        <f>IFERROR(TEXT(C18/B18,"0.0%"),"-")</f>
        <v/>
      </c>
    </row>
    <row r="19" ht="26" customHeight="1">
      <c r="A19" s="8" t="inlineStr">
        <is>
          <t>TOTALS</t>
        </is>
      </c>
      <c r="B19" s="9">
        <f>SUM(B5:B18)</f>
        <v/>
      </c>
      <c r="C19" s="9">
        <f>SUM(C5:C18)</f>
        <v/>
      </c>
      <c r="D19" s="9">
        <f>SUM(D5:D18)</f>
        <v/>
      </c>
      <c r="E19" s="9">
        <f>SUM(E5:E18)</f>
        <v/>
      </c>
      <c r="F19" s="9">
        <f>IFERROR(TEXT(C19/B19,"0.0%"),"-")</f>
        <v/>
      </c>
    </row>
    <row r="21">
      <c r="A21" s="10" t="inlineStr">
        <is>
          <t>STATUS LEGEND</t>
        </is>
      </c>
    </row>
    <row r="22">
      <c r="A22" s="11" t="inlineStr">
        <is>
          <t>✓ PASS</t>
        </is>
      </c>
    </row>
    <row r="23">
      <c r="A23" s="12" t="inlineStr">
        <is>
          <t>✗ FAIL</t>
        </is>
      </c>
    </row>
    <row r="24">
      <c r="A24" s="13" t="inlineStr">
        <is>
          <t>⚠ WARN</t>
        </is>
      </c>
    </row>
    <row r="25">
      <c r="A25" s="14" t="inlineStr">
        <is>
          <t>⏭ SKIP</t>
        </is>
      </c>
    </row>
    <row r="26">
      <c r="A26" s="15" t="inlineStr">
        <is>
          <t>🔄 IN PROGRESS</t>
        </is>
      </c>
    </row>
  </sheetData>
  <mergeCells count="4">
    <mergeCell ref="A2:F2"/>
    <mergeCell ref="A19"/>
    <mergeCell ref="A21:B2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5" customWidth="1" min="3" max="3"/>
    <col width="22" customWidth="1" min="4" max="4"/>
    <col width="14" customWidth="1" min="5" max="5"/>
    <col width="30" customWidth="1" min="6" max="6"/>
    <col width="22" customWidth="1" min="7" max="7"/>
    <col width="12" customWidth="1" min="8" max="8"/>
    <col width="18" customWidth="1" min="9" max="9"/>
  </cols>
  <sheetData>
    <row r="1" ht="30" customHeight="1">
      <c r="A1" s="16" t="inlineStr">
        <is>
          <t>#</t>
        </is>
      </c>
      <c r="B1" s="16" t="inlineStr">
        <is>
          <t>TC ID</t>
        </is>
      </c>
      <c r="C1" s="16" t="inlineStr">
        <is>
          <t>Test Case Description</t>
        </is>
      </c>
      <c r="D1" s="16" t="inlineStr">
        <is>
          <t>Pre-Condition</t>
        </is>
      </c>
      <c r="E1" s="16" t="inlineStr">
        <is>
          <t>Status</t>
        </is>
      </c>
      <c r="F1" s="16" t="inlineStr">
        <is>
          <t>Expected Result</t>
        </is>
      </c>
      <c r="G1" s="16" t="inlineStr">
        <is>
          <t>Actual Result</t>
        </is>
      </c>
      <c r="H1" s="16" t="inlineStr">
        <is>
          <t>Tester</t>
        </is>
      </c>
      <c r="I1" s="16" t="inlineStr">
        <is>
          <t>Date Executed</t>
        </is>
      </c>
    </row>
    <row r="2" ht="22" customHeight="1">
      <c r="A2" s="17" t="n">
        <v>1</v>
      </c>
      <c r="B2" s="18" t="inlineStr">
        <is>
          <t>SA-01</t>
        </is>
      </c>
      <c r="C2" s="18" t="inlineStr">
        <is>
          <t>Super Admin login with valid credentials</t>
        </is>
      </c>
      <c r="D2" s="18" t="inlineStr">
        <is>
          <t>API running, super admin seeded</t>
        </is>
      </c>
      <c r="E2" s="17" t="inlineStr"/>
      <c r="F2" s="18" t="inlineStr">
        <is>
          <t>200 OK, JWT token returned</t>
        </is>
      </c>
      <c r="G2" s="18" t="inlineStr"/>
      <c r="H2" s="17" t="inlineStr">
        <is>
          <t>SQA-Agent-01</t>
        </is>
      </c>
      <c r="I2" s="17" t="inlineStr"/>
    </row>
    <row r="3" ht="22" customHeight="1">
      <c r="A3" s="19" t="n">
        <v>2</v>
      </c>
      <c r="B3" s="20" t="inlineStr">
        <is>
          <t>SA-02</t>
        </is>
      </c>
      <c r="C3" s="20" t="inlineStr">
        <is>
          <t>JWT contains role=super_admin claim</t>
        </is>
      </c>
      <c r="D3" s="20" t="inlineStr">
        <is>
          <t>SA-01 passed</t>
        </is>
      </c>
      <c r="E3" s="19" t="inlineStr"/>
      <c r="F3" s="20" t="inlineStr">
        <is>
          <t>JWT payload.role = super_admin</t>
        </is>
      </c>
      <c r="G3" s="20" t="inlineStr"/>
      <c r="H3" s="19" t="inlineStr">
        <is>
          <t>SQA-Agent-01</t>
        </is>
      </c>
      <c r="I3" s="19" t="inlineStr"/>
    </row>
    <row r="4" ht="22" customHeight="1">
      <c r="A4" s="17" t="n">
        <v>3</v>
      </c>
      <c r="B4" s="18" t="inlineStr">
        <is>
          <t>SA-03</t>
        </is>
      </c>
      <c r="C4" s="18" t="inlineStr">
        <is>
          <t>JWT contains tenantId claim</t>
        </is>
      </c>
      <c r="D4" s="18" t="inlineStr">
        <is>
          <t>SA-01 passed</t>
        </is>
      </c>
      <c r="E4" s="17" t="inlineStr"/>
      <c r="F4" s="18" t="inlineStr">
        <is>
          <t>tenantId claim present in JWT</t>
        </is>
      </c>
      <c r="G4" s="18" t="inlineStr"/>
      <c r="H4" s="17" t="inlineStr">
        <is>
          <t>SQA-Agent-01</t>
        </is>
      </c>
      <c r="I4" s="17" t="inlineStr"/>
    </row>
    <row r="5" ht="22" customHeight="1">
      <c r="A5" s="19" t="n">
        <v>4</v>
      </c>
      <c r="B5" s="20" t="inlineStr">
        <is>
          <t>SA-04</t>
        </is>
      </c>
      <c r="C5" s="20" t="inlineStr">
        <is>
          <t>Wrong password returns 401</t>
        </is>
      </c>
      <c r="D5" s="20" t="inlineStr">
        <is>
          <t>Valid user exists</t>
        </is>
      </c>
      <c r="E5" s="19" t="inlineStr"/>
      <c r="F5" s="20" t="inlineStr">
        <is>
          <t>HTTP 401 Unauthorized</t>
        </is>
      </c>
      <c r="G5" s="20" t="inlineStr"/>
      <c r="H5" s="19" t="inlineStr">
        <is>
          <t>SQA-Agent-01</t>
        </is>
      </c>
      <c r="I5" s="19" t="inlineStr"/>
    </row>
    <row r="6" ht="22" customHeight="1">
      <c r="A6" s="17" t="n">
        <v>5</v>
      </c>
      <c r="B6" s="18" t="inlineStr">
        <is>
          <t>SA-05</t>
        </is>
      </c>
      <c r="C6" s="18" t="inlineStr">
        <is>
          <t>Login without tenantSlug returns 400</t>
        </is>
      </c>
      <c r="D6" s="18" t="inlineStr">
        <is>
          <t>API running</t>
        </is>
      </c>
      <c r="E6" s="17" t="inlineStr"/>
      <c r="F6" s="18" t="inlineStr">
        <is>
          <t>HTTP 400 Bad Request</t>
        </is>
      </c>
      <c r="G6" s="18" t="inlineStr"/>
      <c r="H6" s="17" t="inlineStr">
        <is>
          <t>SQA-Agent-01</t>
        </is>
      </c>
      <c r="I6" s="17" t="inlineStr"/>
    </row>
    <row r="7" ht="22" customHeight="1">
      <c r="A7" s="19" t="n">
        <v>6</v>
      </c>
      <c r="B7" s="20" t="inlineStr">
        <is>
          <t>SA-06</t>
        </is>
      </c>
      <c r="C7" s="20" t="inlineStr">
        <is>
          <t>Super admin can list all tenants</t>
        </is>
      </c>
      <c r="D7" s="20" t="inlineStr">
        <is>
          <t>SA-01 passed</t>
        </is>
      </c>
      <c r="E7" s="19" t="inlineStr"/>
      <c r="F7" s="20" t="inlineStr">
        <is>
          <t>200 OK, array of tenants with user_count</t>
        </is>
      </c>
      <c r="G7" s="20" t="inlineStr"/>
      <c r="H7" s="19" t="inlineStr">
        <is>
          <t>SQA-Agent-01</t>
        </is>
      </c>
      <c r="I7" s="19" t="inlineStr"/>
    </row>
    <row r="8" ht="22" customHeight="1">
      <c r="A8" s="17" t="n">
        <v>7</v>
      </c>
      <c r="B8" s="18" t="inlineStr">
        <is>
          <t>SA-07</t>
        </is>
      </c>
      <c r="C8" s="18" t="inlineStr">
        <is>
          <t>Tenant list includes usage meta (user_count)</t>
        </is>
      </c>
      <c r="D8" s="18" t="inlineStr">
        <is>
          <t>SA-06 passed</t>
        </is>
      </c>
      <c r="E8" s="17" t="inlineStr"/>
      <c r="F8" s="18" t="inlineStr">
        <is>
          <t>user_count present on each tenant</t>
        </is>
      </c>
      <c r="G8" s="18" t="inlineStr"/>
      <c r="H8" s="17" t="inlineStr">
        <is>
          <t>SQA-Agent-01</t>
        </is>
      </c>
      <c r="I8" s="17" t="inlineStr"/>
    </row>
    <row r="9" ht="22" customHeight="1">
      <c r="A9" s="19" t="n">
        <v>8</v>
      </c>
      <c r="B9" s="20" t="inlineStr">
        <is>
          <t>SA-08</t>
        </is>
      </c>
      <c r="C9" s="20" t="inlineStr">
        <is>
          <t>Module catalog returns all 7 modules</t>
        </is>
      </c>
      <c r="D9" s="20" t="inlineStr">
        <is>
          <t>SA-01 passed</t>
        </is>
      </c>
      <c r="E9" s="19" t="inlineStr"/>
      <c r="F9" s="20" t="inlineStr">
        <is>
          <t>7 modules, crm always=true</t>
        </is>
      </c>
      <c r="G9" s="20" t="inlineStr"/>
      <c r="H9" s="19" t="inlineStr">
        <is>
          <t>SQA-Agent-01</t>
        </is>
      </c>
      <c r="I9" s="19" t="inlineStr"/>
    </row>
    <row r="10" ht="22" customHeight="1">
      <c r="A10" s="17" t="n">
        <v>9</v>
      </c>
      <c r="B10" s="18" t="inlineStr">
        <is>
          <t>SA-09</t>
        </is>
      </c>
      <c r="C10" s="18" t="inlineStr">
        <is>
          <t>Create Alpha Bank (banking sector)</t>
        </is>
      </c>
      <c r="D10" s="18" t="inlineStr">
        <is>
          <t>SA-01 passed</t>
        </is>
      </c>
      <c r="E10" s="17" t="inlineStr"/>
      <c r="F10" s="18" t="inlineStr">
        <is>
          <t>201 Created, tenant seeded with banking fields</t>
        </is>
      </c>
      <c r="G10" s="18" t="inlineStr"/>
      <c r="H10" s="17" t="inlineStr">
        <is>
          <t>SQA-Agent-01</t>
        </is>
      </c>
      <c r="I10" s="17" t="inlineStr"/>
    </row>
    <row r="11" ht="22" customHeight="1">
      <c r="A11" s="19" t="n">
        <v>10</v>
      </c>
      <c r="B11" s="20" t="inlineStr">
        <is>
          <t>SA-10</t>
        </is>
      </c>
      <c r="C11" s="20" t="inlineStr">
        <is>
          <t>Super admin upgrades Alpha Bank plan to professional</t>
        </is>
      </c>
      <c r="D11" s="20" t="inlineStr">
        <is>
          <t>SA-09 passed</t>
        </is>
      </c>
      <c r="E11" s="19" t="inlineStr"/>
      <c r="F11" s="20" t="inlineStr">
        <is>
          <t>200 OK, plan=professional</t>
        </is>
      </c>
      <c r="G11" s="20" t="inlineStr"/>
      <c r="H11" s="19" t="inlineStr">
        <is>
          <t>SQA-Agent-01</t>
        </is>
      </c>
      <c r="I11" s="19" t="inlineStr"/>
    </row>
    <row r="12" ht="22" customHeight="1">
      <c r="A12" s="17" t="n">
        <v>11</v>
      </c>
      <c r="B12" s="18" t="inlineStr">
        <is>
          <t>SA-11</t>
        </is>
      </c>
      <c r="C12" s="18" t="inlineStr">
        <is>
          <t>Enable CRM+Ticketing+Analytics+Emails modules for Alpha Bank</t>
        </is>
      </c>
      <c r="D12" s="18" t="inlineStr">
        <is>
          <t>SA-09 passed</t>
        </is>
      </c>
      <c r="E12" s="17" t="inlineStr"/>
      <c r="F12" s="18" t="inlineStr">
        <is>
          <t>200 OK, active_modules updated</t>
        </is>
      </c>
      <c r="G12" s="18" t="inlineStr"/>
      <c r="H12" s="17" t="inlineStr">
        <is>
          <t>SQA-Agent-01</t>
        </is>
      </c>
      <c r="I12" s="17" t="inlineStr"/>
    </row>
    <row r="13" ht="22" customHeight="1">
      <c r="A13" s="19" t="n">
        <v>12</v>
      </c>
      <c r="B13" s="20" t="inlineStr">
        <is>
          <t>SA-12</t>
        </is>
      </c>
      <c r="C13" s="20" t="inlineStr">
        <is>
          <t>Create Beta Bank (banking sector, starter plan)</t>
        </is>
      </c>
      <c r="D13" s="20" t="inlineStr">
        <is>
          <t>SA-01 passed</t>
        </is>
      </c>
      <c r="E13" s="19" t="inlineStr"/>
      <c r="F13" s="20" t="inlineStr">
        <is>
          <t>201 Created</t>
        </is>
      </c>
      <c r="G13" s="20" t="inlineStr"/>
      <c r="H13" s="19" t="inlineStr">
        <is>
          <t>SQA-Agent-01</t>
        </is>
      </c>
      <c r="I13" s="19" t="inlineStr"/>
    </row>
    <row r="14" ht="22" customHeight="1">
      <c r="A14" s="17" t="n">
        <v>13</v>
      </c>
      <c r="B14" s="18" t="inlineStr">
        <is>
          <t>SA-13</t>
        </is>
      </c>
      <c r="C14" s="18" t="inlineStr">
        <is>
          <t>Beta Bank limited to CRM+Ticketing only</t>
        </is>
      </c>
      <c r="D14" s="18" t="inlineStr">
        <is>
          <t>SA-12 passed</t>
        </is>
      </c>
      <c r="E14" s="17" t="inlineStr"/>
      <c r="F14" s="18" t="inlineStr">
        <is>
          <t>active_modules=[crm,ticketing]</t>
        </is>
      </c>
      <c r="G14" s="18" t="inlineStr"/>
      <c r="H14" s="17" t="inlineStr">
        <is>
          <t>SQA-Agent-01</t>
        </is>
      </c>
      <c r="I14" s="17" t="inlineStr"/>
    </row>
    <row r="15" ht="22" customHeight="1">
      <c r="A15" s="19" t="n">
        <v>14</v>
      </c>
      <c r="B15" s="20" t="inlineStr">
        <is>
          <t>SA-14</t>
        </is>
      </c>
      <c r="C15" s="20" t="inlineStr">
        <is>
          <t>Super admin can view tenant detail with sector info</t>
        </is>
      </c>
      <c r="D15" s="20" t="inlineStr">
        <is>
          <t>SA-09 passed</t>
        </is>
      </c>
      <c r="E15" s="19" t="inlineStr"/>
      <c r="F15" s="20" t="inlineStr">
        <is>
          <t>sector=banking in response</t>
        </is>
      </c>
      <c r="G15" s="20" t="inlineStr"/>
      <c r="H15" s="19" t="inlineStr">
        <is>
          <t>SQA-Agent-01</t>
        </is>
      </c>
      <c r="I15" s="19" t="inlineStr"/>
    </row>
    <row r="16" ht="22" customHeight="1">
      <c r="A16" s="17" t="n">
        <v>15</v>
      </c>
      <c r="B16" s="18" t="inlineStr">
        <is>
          <t>SA-15</t>
        </is>
      </c>
      <c r="C16" s="18" t="inlineStr">
        <is>
          <t>Duplicate tenant slug rejected with 409</t>
        </is>
      </c>
      <c r="D16" s="18" t="inlineStr">
        <is>
          <t>SA-09 passed</t>
        </is>
      </c>
      <c r="E16" s="17" t="inlineStr"/>
      <c r="F16" s="18" t="inlineStr">
        <is>
          <t>HTTP 409 Conflict</t>
        </is>
      </c>
      <c r="G16" s="18" t="inlineStr"/>
      <c r="H16" s="17" t="inlineStr">
        <is>
          <t>SQA-Agent-01</t>
        </is>
      </c>
      <c r="I16" s="17" t="inlineStr"/>
    </row>
    <row r="17" ht="22" customHeight="1">
      <c r="A17" s="19" t="n">
        <v>16</v>
      </c>
      <c r="B17" s="20" t="inlineStr">
        <is>
          <t>SA-16</t>
        </is>
      </c>
      <c r="C17" s="20" t="inlineStr">
        <is>
          <t>Invalid slug format (uppercase) rejected with 400</t>
        </is>
      </c>
      <c r="D17" s="20" t="inlineStr">
        <is>
          <t>API running</t>
        </is>
      </c>
      <c r="E17" s="19" t="inlineStr"/>
      <c r="F17" s="20" t="inlineStr">
        <is>
          <t>HTTP 400 Bad Request</t>
        </is>
      </c>
      <c r="G17" s="20" t="inlineStr"/>
      <c r="H17" s="19" t="inlineStr">
        <is>
          <t>SQA-Agent-01</t>
        </is>
      </c>
      <c r="I17" s="19" t="inlineStr"/>
    </row>
    <row r="18" ht="22" customHeight="1">
      <c r="A18" s="17" t="n">
        <v>17</v>
      </c>
      <c r="B18" s="18" t="inlineStr">
        <is>
          <t>SA-17</t>
        </is>
      </c>
      <c r="C18" s="18" t="inlineStr">
        <is>
          <t>Weak password rejected (enterprise policy)</t>
        </is>
      </c>
      <c r="D18" s="18" t="inlineStr">
        <is>
          <t>API running</t>
        </is>
      </c>
      <c r="E18" s="17" t="inlineStr"/>
      <c r="F18" s="18" t="inlineStr">
        <is>
          <t>HTTP 400, password policy error</t>
        </is>
      </c>
      <c r="G18" s="18" t="inlineStr"/>
      <c r="H18" s="17" t="inlineStr">
        <is>
          <t>SQA-Agent-01</t>
        </is>
      </c>
      <c r="I18" s="17" t="inlineStr"/>
    </row>
    <row r="19" ht="22" customHeight="1">
      <c r="A19" s="19" t="n">
        <v>18</v>
      </c>
      <c r="B19" s="20" t="inlineStr">
        <is>
          <t>SA-18</t>
        </is>
      </c>
      <c r="C19" s="20" t="inlineStr">
        <is>
          <t>Tenant count increases after creation</t>
        </is>
      </c>
      <c r="D19" s="20" t="inlineStr">
        <is>
          <t>SA-06 baseline taken</t>
        </is>
      </c>
      <c r="E19" s="19" t="inlineStr"/>
      <c r="F19" s="20" t="inlineStr">
        <is>
          <t>nowCount &gt;= preTenantCount</t>
        </is>
      </c>
      <c r="G19" s="20" t="inlineStr"/>
      <c r="H19" s="19" t="inlineStr">
        <is>
          <t>SQA-Agent-01</t>
        </is>
      </c>
      <c r="I19" s="19" t="inlineStr"/>
    </row>
    <row r="20" ht="22" customHeight="1">
      <c r="A20" s="17" t="n">
        <v>19</v>
      </c>
      <c r="B20" s="18" t="inlineStr">
        <is>
          <t>SA-19</t>
        </is>
      </c>
      <c r="C20" s="18" t="inlineStr">
        <is>
          <t>Suspend tenant blocks login</t>
        </is>
      </c>
      <c r="D20" s="18" t="inlineStr">
        <is>
          <t>SA-12 passed</t>
        </is>
      </c>
      <c r="E20" s="17" t="inlineStr"/>
      <c r="F20" s="18" t="inlineStr">
        <is>
          <t>HTTP 401/403 on login to suspended tenant</t>
        </is>
      </c>
      <c r="G20" s="18" t="inlineStr"/>
      <c r="H20" s="17" t="inlineStr">
        <is>
          <t>SQA-Agent-01</t>
        </is>
      </c>
      <c r="I20" s="17" t="inlineStr"/>
    </row>
    <row r="21" ht="22" customHeight="1">
      <c r="A21" s="19" t="n">
        <v>20</v>
      </c>
      <c r="B21" s="20" t="inlineStr">
        <is>
          <t>SA-20</t>
        </is>
      </c>
      <c r="C21" s="20" t="inlineStr">
        <is>
          <t>Reactivate tenant restores login</t>
        </is>
      </c>
      <c r="D21" s="20" t="inlineStr">
        <is>
          <t>SA-19 passed</t>
        </is>
      </c>
      <c r="E21" s="19" t="inlineStr"/>
      <c r="F21" s="20" t="inlineStr">
        <is>
          <t>Login succeeds after reactivation</t>
        </is>
      </c>
      <c r="G21" s="20" t="inlineStr"/>
      <c r="H21" s="19" t="inlineStr">
        <is>
          <t>SQA-Agent-01</t>
        </is>
      </c>
      <c r="I21" s="19" t="inlineStr"/>
    </row>
    <row r="22" ht="22" customHeight="1">
      <c r="A22" s="17" t="n">
        <v>21</v>
      </c>
      <c r="B22" s="18" t="inlineStr">
        <is>
          <t>SA-21</t>
        </is>
      </c>
      <c r="C22" s="18" t="inlineStr">
        <is>
          <t>Super admin blocked from tenant-scoped routes</t>
        </is>
      </c>
      <c r="D22" s="18" t="inlineStr">
        <is>
          <t>SA-01 passed</t>
        </is>
      </c>
      <c r="E22" s="17" t="inlineStr"/>
      <c r="F22" s="18" t="inlineStr">
        <is>
          <t>HTTP 400/401/403 on /contacts, /tickets</t>
        </is>
      </c>
      <c r="G22" s="18" t="inlineStr"/>
      <c r="H22" s="17" t="inlineStr">
        <is>
          <t>SQA-Agent-01</t>
        </is>
      </c>
      <c r="I22" s="17" t="inlineStr"/>
    </row>
    <row r="23" ht="22" customHeight="1">
      <c r="A23" s="19" t="n">
        <v>22</v>
      </c>
      <c r="B23" s="20" t="inlineStr">
        <is>
          <t>SA-22</t>
        </is>
      </c>
      <c r="C23" s="20" t="inlineStr">
        <is>
          <t>Banking sector seeds 5+ custom fields on registration</t>
        </is>
      </c>
      <c r="D23" s="20" t="inlineStr">
        <is>
          <t>Alpha Bank created</t>
        </is>
      </c>
      <c r="E23" s="19" t="inlineStr"/>
      <c r="F23" s="20" t="inlineStr">
        <is>
          <t>min 5 banking fields in custom_field_definitions</t>
        </is>
      </c>
      <c r="G23" s="20" t="inlineStr"/>
      <c r="H23" s="19" t="inlineStr">
        <is>
          <t>SQA-Agent-01</t>
        </is>
      </c>
      <c r="I23" s="19" t="inlineStr"/>
    </row>
    <row r="24" ht="22" customHeight="1">
      <c r="A24" s="17" t="n">
        <v>23</v>
      </c>
      <c r="B24" s="18" t="inlineStr">
        <is>
          <t>TA-01</t>
        </is>
      </c>
      <c r="C24" s="18" t="inlineStr">
        <is>
          <t>Alpha Bank admin login</t>
        </is>
      </c>
      <c r="D24" s="18" t="inlineStr">
        <is>
          <t>SA-09 passed</t>
        </is>
      </c>
      <c r="E24" s="17" t="inlineStr"/>
      <c r="F24" s="18" t="inlineStr">
        <is>
          <t>200 OK, JWT role=tenant_admin</t>
        </is>
      </c>
      <c r="G24" s="18" t="inlineStr"/>
      <c r="H24" s="17" t="inlineStr">
        <is>
          <t>SQA-Agent-02</t>
        </is>
      </c>
      <c r="I24" s="17" t="inlineStr"/>
    </row>
    <row r="25" ht="22" customHeight="1">
      <c r="A25" s="19" t="n">
        <v>24</v>
      </c>
      <c r="B25" s="20" t="inlineStr">
        <is>
          <t>TA-02</t>
        </is>
      </c>
      <c r="C25" s="20" t="inlineStr">
        <is>
          <t>Tenant admin can access /settings</t>
        </is>
      </c>
      <c r="D25" s="20" t="inlineStr">
        <is>
          <t>TA-01 passed</t>
        </is>
      </c>
      <c r="E25" s="19" t="inlineStr"/>
      <c r="F25" s="20" t="inlineStr">
        <is>
          <t>200 OK</t>
        </is>
      </c>
      <c r="G25" s="20" t="inlineStr"/>
      <c r="H25" s="19" t="inlineStr">
        <is>
          <t>SQA-Agent-02</t>
        </is>
      </c>
      <c r="I25" s="19" t="inlineStr"/>
    </row>
    <row r="26" ht="22" customHeight="1">
      <c r="A26" s="17" t="n">
        <v>25</v>
      </c>
      <c r="B26" s="18" t="inlineStr">
        <is>
          <t>TA-03</t>
        </is>
      </c>
      <c r="C26" s="18" t="inlineStr">
        <is>
          <t>Tenant admin can list team members</t>
        </is>
      </c>
      <c r="D26" s="18" t="inlineStr">
        <is>
          <t>TA-01 passed</t>
        </is>
      </c>
      <c r="E26" s="17" t="inlineStr"/>
      <c r="F26" s="18" t="inlineStr">
        <is>
          <t>200 OK, array of users</t>
        </is>
      </c>
      <c r="G26" s="18" t="inlineStr"/>
      <c r="H26" s="17" t="inlineStr">
        <is>
          <t>SQA-Agent-02</t>
        </is>
      </c>
      <c r="I26" s="17" t="inlineStr"/>
    </row>
    <row r="27" ht="22" customHeight="1">
      <c r="A27" s="19" t="n">
        <v>26</v>
      </c>
      <c r="B27" s="20" t="inlineStr">
        <is>
          <t>TA-04</t>
        </is>
      </c>
      <c r="C27" s="20" t="inlineStr">
        <is>
          <t>Workspace sector = banking</t>
        </is>
      </c>
      <c r="D27" s="20" t="inlineStr">
        <is>
          <t>TA-01 passed</t>
        </is>
      </c>
      <c r="E27" s="19" t="inlineStr"/>
      <c r="F27" s="20" t="inlineStr">
        <is>
          <t>sector=banking in workspace settings</t>
        </is>
      </c>
      <c r="G27" s="20" t="inlineStr"/>
      <c r="H27" s="19" t="inlineStr">
        <is>
          <t>SQA-Agent-02</t>
        </is>
      </c>
      <c r="I27" s="19" t="inlineStr"/>
    </row>
    <row r="28" ht="22" customHeight="1">
      <c r="A28" s="17" t="n">
        <v>27</v>
      </c>
      <c r="B28" s="18" t="inlineStr">
        <is>
          <t>TA-05</t>
        </is>
      </c>
      <c r="C28" s="18" t="inlineStr">
        <is>
          <t>Active modules match super admin licensing</t>
        </is>
      </c>
      <c r="D28" s="18" t="inlineStr">
        <is>
          <t>TA-01 passed</t>
        </is>
      </c>
      <c r="E28" s="17" t="inlineStr"/>
      <c r="F28" s="18" t="inlineStr">
        <is>
          <t>crm, ticketing, analytics, emails present</t>
        </is>
      </c>
      <c r="G28" s="18" t="inlineStr"/>
      <c r="H28" s="17" t="inlineStr">
        <is>
          <t>SQA-Agent-02</t>
        </is>
      </c>
      <c r="I28" s="17" t="inlineStr"/>
    </row>
    <row r="29" ht="22" customHeight="1">
      <c r="A29" s="19" t="n">
        <v>28</v>
      </c>
      <c r="B29" s="20" t="inlineStr">
        <is>
          <t>TA-06</t>
        </is>
      </c>
      <c r="C29" s="20" t="inlineStr">
        <is>
          <t>Create Retail Banking Manager</t>
        </is>
      </c>
      <c r="D29" s="20" t="inlineStr">
        <is>
          <t>TA-01 passed</t>
        </is>
      </c>
      <c r="E29" s="19" t="inlineStr"/>
      <c r="F29" s="20" t="inlineStr">
        <is>
          <t>User created, role=manager, dept=Retail Banking</t>
        </is>
      </c>
      <c r="G29" s="20" t="inlineStr"/>
      <c r="H29" s="19" t="inlineStr">
        <is>
          <t>SQA-Agent-02</t>
        </is>
      </c>
      <c r="I29" s="19" t="inlineStr"/>
    </row>
    <row r="30" ht="22" customHeight="1">
      <c r="A30" s="17" t="n">
        <v>29</v>
      </c>
      <c r="B30" s="18" t="inlineStr">
        <is>
          <t>TA-07</t>
        </is>
      </c>
      <c r="C30" s="18" t="inlineStr">
        <is>
          <t>Create Retail Banking Asst Manager (agent)</t>
        </is>
      </c>
      <c r="D30" s="18" t="inlineStr">
        <is>
          <t>TA-01 passed</t>
        </is>
      </c>
      <c r="E30" s="17" t="inlineStr"/>
      <c r="F30" s="18" t="inlineStr">
        <is>
          <t>User created, role=agent, dept=Retail Banking</t>
        </is>
      </c>
      <c r="G30" s="18" t="inlineStr"/>
      <c r="H30" s="17" t="inlineStr">
        <is>
          <t>SQA-Agent-02</t>
        </is>
      </c>
      <c r="I30" s="17" t="inlineStr"/>
    </row>
    <row r="31" ht="22" customHeight="1">
      <c r="A31" s="19" t="n">
        <v>30</v>
      </c>
      <c r="B31" s="20" t="inlineStr">
        <is>
          <t>TA-08</t>
        </is>
      </c>
      <c r="C31" s="20" t="inlineStr">
        <is>
          <t>Create Retail Banking Executive (agent)</t>
        </is>
      </c>
      <c r="D31" s="20" t="inlineStr">
        <is>
          <t>TA-01 passed</t>
        </is>
      </c>
      <c r="E31" s="19" t="inlineStr"/>
      <c r="F31" s="20" t="inlineStr">
        <is>
          <t>User created, role=agent, dept=Retail Banking</t>
        </is>
      </c>
      <c r="G31" s="20" t="inlineStr"/>
      <c r="H31" s="19" t="inlineStr">
        <is>
          <t>SQA-Agent-02</t>
        </is>
      </c>
      <c r="I31" s="19" t="inlineStr"/>
    </row>
    <row r="32" ht="22" customHeight="1">
      <c r="A32" s="17" t="n">
        <v>31</v>
      </c>
      <c r="B32" s="18" t="inlineStr">
        <is>
          <t>TA-09</t>
        </is>
      </c>
      <c r="C32" s="18" t="inlineStr">
        <is>
          <t>Create Loans Manager</t>
        </is>
      </c>
      <c r="D32" s="18" t="inlineStr">
        <is>
          <t>TA-01 passed</t>
        </is>
      </c>
      <c r="E32" s="17" t="inlineStr"/>
      <c r="F32" s="18" t="inlineStr">
        <is>
          <t>User created, role=manager, dept=Loans</t>
        </is>
      </c>
      <c r="G32" s="18" t="inlineStr"/>
      <c r="H32" s="17" t="inlineStr">
        <is>
          <t>SQA-Agent-02</t>
        </is>
      </c>
      <c r="I32" s="17" t="inlineStr"/>
    </row>
    <row r="33" ht="22" customHeight="1">
      <c r="A33" s="19" t="n">
        <v>32</v>
      </c>
      <c r="B33" s="20" t="inlineStr">
        <is>
          <t>TA-10</t>
        </is>
      </c>
      <c r="C33" s="20" t="inlineStr">
        <is>
          <t>Create Loans Asst Manager + Executive</t>
        </is>
      </c>
      <c r="D33" s="20" t="inlineStr">
        <is>
          <t>TA-01 passed</t>
        </is>
      </c>
      <c r="E33" s="19" t="inlineStr"/>
      <c r="F33" s="20" t="inlineStr">
        <is>
          <t>2 users created in Loans dept</t>
        </is>
      </c>
      <c r="G33" s="20" t="inlineStr"/>
      <c r="H33" s="19" t="inlineStr">
        <is>
          <t>SQA-Agent-02</t>
        </is>
      </c>
      <c r="I33" s="19" t="inlineStr"/>
    </row>
    <row r="34" ht="22" customHeight="1">
      <c r="A34" s="17" t="n">
        <v>33</v>
      </c>
      <c r="B34" s="18" t="inlineStr">
        <is>
          <t>TA-11</t>
        </is>
      </c>
      <c r="C34" s="18" t="inlineStr">
        <is>
          <t>Create Cards Manager + Executive</t>
        </is>
      </c>
      <c r="D34" s="18" t="inlineStr">
        <is>
          <t>TA-01 passed</t>
        </is>
      </c>
      <c r="E34" s="17" t="inlineStr"/>
      <c r="F34" s="18" t="inlineStr">
        <is>
          <t>2 users created in Cards dept</t>
        </is>
      </c>
      <c r="G34" s="18" t="inlineStr"/>
      <c r="H34" s="17" t="inlineStr">
        <is>
          <t>SQA-Agent-02</t>
        </is>
      </c>
      <c r="I34" s="17" t="inlineStr"/>
    </row>
    <row r="35" ht="22" customHeight="1">
      <c r="A35" s="19" t="n">
        <v>34</v>
      </c>
      <c r="B35" s="20" t="inlineStr">
        <is>
          <t>TA-12</t>
        </is>
      </c>
      <c r="C35" s="20" t="inlineStr">
        <is>
          <t>Create Support Manager + 2 Agents</t>
        </is>
      </c>
      <c r="D35" s="20" t="inlineStr">
        <is>
          <t>TA-01 passed</t>
        </is>
      </c>
      <c r="E35" s="19" t="inlineStr"/>
      <c r="F35" s="20" t="inlineStr">
        <is>
          <t>3 users created in Customer Support</t>
        </is>
      </c>
      <c r="G35" s="20" t="inlineStr"/>
      <c r="H35" s="19" t="inlineStr">
        <is>
          <t>SQA-Agent-02</t>
        </is>
      </c>
      <c r="I35" s="19" t="inlineStr"/>
    </row>
    <row r="36" ht="22" customHeight="1">
      <c r="A36" s="17" t="n">
        <v>35</v>
      </c>
      <c r="B36" s="18" t="inlineStr">
        <is>
          <t>TA-13</t>
        </is>
      </c>
      <c r="C36" s="18" t="inlineStr">
        <is>
          <t>Create Compliance Viewer</t>
        </is>
      </c>
      <c r="D36" s="18" t="inlineStr">
        <is>
          <t>TA-01 passed</t>
        </is>
      </c>
      <c r="E36" s="17" t="inlineStr"/>
      <c r="F36" s="18" t="inlineStr">
        <is>
          <t>User created, role=viewer, dept=Compliance</t>
        </is>
      </c>
      <c r="G36" s="18" t="inlineStr"/>
      <c r="H36" s="17" t="inlineStr">
        <is>
          <t>SQA-Agent-02</t>
        </is>
      </c>
      <c r="I36" s="17" t="inlineStr"/>
    </row>
    <row r="37" ht="22" customHeight="1">
      <c r="A37" s="19" t="n">
        <v>36</v>
      </c>
      <c r="B37" s="20" t="inlineStr">
        <is>
          <t>TA-14</t>
        </is>
      </c>
      <c r="C37" s="20" t="inlineStr">
        <is>
          <t>All Alpha Bank users created (12 users)</t>
        </is>
      </c>
      <c r="D37" s="20" t="inlineStr">
        <is>
          <t>TA-06..13</t>
        </is>
      </c>
      <c r="E37" s="19" t="inlineStr"/>
      <c r="F37" s="20" t="inlineStr">
        <is>
          <t>12 users in Alpha Bank tenant</t>
        </is>
      </c>
      <c r="G37" s="20" t="inlineStr"/>
      <c r="H37" s="19" t="inlineStr">
        <is>
          <t>SQA-Agent-02</t>
        </is>
      </c>
      <c r="I37" s="19" t="inlineStr"/>
    </row>
    <row r="38" ht="22" customHeight="1">
      <c r="A38" s="17" t="n">
        <v>37</v>
      </c>
      <c r="B38" s="18" t="inlineStr">
        <is>
          <t>TA-15</t>
        </is>
      </c>
      <c r="C38" s="18" t="inlineStr">
        <is>
          <t>Repeat for Beta Bank (same structure)</t>
        </is>
      </c>
      <c r="D38" s="18" t="inlineStr">
        <is>
          <t>SA-12 passed</t>
        </is>
      </c>
      <c r="E38" s="17" t="inlineStr"/>
      <c r="F38" s="18" t="inlineStr">
        <is>
          <t>12 users in Beta Bank tenant</t>
        </is>
      </c>
      <c r="G38" s="18" t="inlineStr"/>
      <c r="H38" s="17" t="inlineStr">
        <is>
          <t>SQA-Agent-02</t>
        </is>
      </c>
      <c r="I38" s="17" t="inlineStr"/>
    </row>
    <row r="39" ht="22" customHeight="1">
      <c r="A39" s="19" t="n">
        <v>38</v>
      </c>
      <c r="B39" s="20" t="inlineStr">
        <is>
          <t>TA-19</t>
        </is>
      </c>
      <c r="C39" s="20" t="inlineStr">
        <is>
          <t>Agent cannot invite/create users (403)</t>
        </is>
      </c>
      <c r="D39" s="20" t="inlineStr">
        <is>
          <t>TA-08 passed</t>
        </is>
      </c>
      <c r="E39" s="19" t="inlineStr"/>
      <c r="F39" s="20" t="inlineStr">
        <is>
          <t>HTTP 403 Forbidden</t>
        </is>
      </c>
      <c r="G39" s="20" t="inlineStr"/>
      <c r="H39" s="19" t="inlineStr">
        <is>
          <t>SQA-Agent-02</t>
        </is>
      </c>
      <c r="I39" s="19" t="inlineStr"/>
    </row>
    <row r="40" ht="22" customHeight="1">
      <c r="A40" s="17" t="n">
        <v>39</v>
      </c>
      <c r="B40" s="18" t="inlineStr">
        <is>
          <t>TA-20</t>
        </is>
      </c>
      <c r="C40" s="18" t="inlineStr">
        <is>
          <t>Agent cannot modify workspace settings (403)</t>
        </is>
      </c>
      <c r="D40" s="18" t="inlineStr">
        <is>
          <t>TA-08 passed</t>
        </is>
      </c>
      <c r="E40" s="17" t="inlineStr"/>
      <c r="F40" s="18" t="inlineStr">
        <is>
          <t>HTTP 403 Forbidden</t>
        </is>
      </c>
      <c r="G40" s="18" t="inlineStr"/>
      <c r="H40" s="17" t="inlineStr">
        <is>
          <t>SQA-Agent-02</t>
        </is>
      </c>
      <c r="I40" s="17" t="inlineStr"/>
    </row>
    <row r="41" ht="22" customHeight="1">
      <c r="A41" s="19" t="n">
        <v>40</v>
      </c>
      <c r="B41" s="20" t="inlineStr">
        <is>
          <t>TA-21</t>
        </is>
      </c>
      <c r="C41" s="20" t="inlineStr">
        <is>
          <t>Agent cannot list all team members (403)</t>
        </is>
      </c>
      <c r="D41" s="20" t="inlineStr">
        <is>
          <t>TA-08 passed</t>
        </is>
      </c>
      <c r="E41" s="19" t="inlineStr"/>
      <c r="F41" s="20" t="inlineStr">
        <is>
          <t>HTTP 403 Forbidden</t>
        </is>
      </c>
      <c r="G41" s="20" t="inlineStr"/>
      <c r="H41" s="19" t="inlineStr">
        <is>
          <t>SQA-Agent-02</t>
        </is>
      </c>
      <c r="I41" s="19" t="inlineStr"/>
    </row>
    <row r="42" ht="22" customHeight="1">
      <c r="A42" s="17" t="n">
        <v>41</v>
      </c>
      <c r="B42" s="18" t="inlineStr">
        <is>
          <t>TA-22</t>
        </is>
      </c>
      <c r="C42" s="18" t="inlineStr">
        <is>
          <t>Viewer cannot create users (403)</t>
        </is>
      </c>
      <c r="D42" s="18" t="inlineStr">
        <is>
          <t>TA-13 passed</t>
        </is>
      </c>
      <c r="E42" s="17" t="inlineStr"/>
      <c r="F42" s="18" t="inlineStr">
        <is>
          <t>HTTP 403 Forbidden</t>
        </is>
      </c>
      <c r="G42" s="18" t="inlineStr"/>
      <c r="H42" s="17" t="inlineStr">
        <is>
          <t>SQA-Agent-02</t>
        </is>
      </c>
      <c r="I42" s="17" t="inlineStr"/>
    </row>
    <row r="43" ht="22" customHeight="1">
      <c r="A43" s="19" t="n">
        <v>42</v>
      </c>
      <c r="B43" s="20" t="inlineStr">
        <is>
          <t>TA-23</t>
        </is>
      </c>
      <c r="C43" s="20" t="inlineStr">
        <is>
          <t>Manager can list team members</t>
        </is>
      </c>
      <c r="D43" s="20" t="inlineStr">
        <is>
          <t>TA-06 passed</t>
        </is>
      </c>
      <c r="E43" s="19" t="inlineStr"/>
      <c r="F43" s="20" t="inlineStr">
        <is>
          <t>HTTP 200 OK</t>
        </is>
      </c>
      <c r="G43" s="20" t="inlineStr"/>
      <c r="H43" s="19" t="inlineStr">
        <is>
          <t>SQA-Agent-02</t>
        </is>
      </c>
      <c r="I43" s="19" t="inlineStr"/>
    </row>
    <row r="44" ht="22" customHeight="1">
      <c r="A44" s="17" t="n">
        <v>43</v>
      </c>
      <c r="B44" s="18" t="inlineStr">
        <is>
          <t>TA-24</t>
        </is>
      </c>
      <c r="C44" s="18" t="inlineStr">
        <is>
          <t>Department types endpoint returns valid list</t>
        </is>
      </c>
      <c r="D44" s="18" t="inlineStr">
        <is>
          <t>TA-01 passed</t>
        </is>
      </c>
      <c r="E44" s="17" t="inlineStr"/>
      <c r="F44" s="18" t="inlineStr">
        <is>
          <t>Array of dept type strings</t>
        </is>
      </c>
      <c r="G44" s="18" t="inlineStr"/>
      <c r="H44" s="17" t="inlineStr">
        <is>
          <t>SQA-Agent-02</t>
        </is>
      </c>
      <c r="I44" s="17" t="inlineStr"/>
    </row>
    <row r="45" ht="22" customHeight="1">
      <c r="A45" s="19" t="n">
        <v>44</v>
      </c>
      <c r="B45" s="20" t="inlineStr">
        <is>
          <t>TA-25</t>
        </is>
      </c>
      <c r="C45" s="20" t="inlineStr">
        <is>
          <t>Agent can access /contacts (module enabled)</t>
        </is>
      </c>
      <c r="D45" s="20" t="inlineStr">
        <is>
          <t>TA-08 passed</t>
        </is>
      </c>
      <c r="E45" s="19" t="inlineStr"/>
      <c r="F45" s="20" t="inlineStr">
        <is>
          <t>HTTP 200 OK</t>
        </is>
      </c>
      <c r="G45" s="20" t="inlineStr"/>
      <c r="H45" s="19" t="inlineStr">
        <is>
          <t>SQA-Agent-02</t>
        </is>
      </c>
      <c r="I45" s="19" t="inlineStr"/>
    </row>
    <row r="46" ht="22" customHeight="1">
      <c r="A46" s="17" t="n">
        <v>45</v>
      </c>
      <c r="B46" s="18" t="inlineStr">
        <is>
          <t>TA-26</t>
        </is>
      </c>
      <c r="C46" s="18" t="inlineStr">
        <is>
          <t>Agent can access /tickets (module enabled)</t>
        </is>
      </c>
      <c r="D46" s="18" t="inlineStr">
        <is>
          <t>TA-08 passed</t>
        </is>
      </c>
      <c r="E46" s="17" t="inlineStr"/>
      <c r="F46" s="18" t="inlineStr">
        <is>
          <t>HTTP 200 OK</t>
        </is>
      </c>
      <c r="G46" s="18" t="inlineStr"/>
      <c r="H46" s="17" t="inlineStr">
        <is>
          <t>SQA-Agent-02</t>
        </is>
      </c>
      <c r="I46" s="17" t="inlineStr"/>
    </row>
    <row r="47" ht="22" customHeight="1">
      <c r="A47" s="19" t="n">
        <v>46</v>
      </c>
      <c r="B47" s="20" t="inlineStr">
        <is>
          <t>TA-27</t>
        </is>
      </c>
      <c r="C47" s="20" t="inlineStr">
        <is>
          <t>Agent cannot access /billing (403)</t>
        </is>
      </c>
      <c r="D47" s="20" t="inlineStr">
        <is>
          <t>TA-08 passed</t>
        </is>
      </c>
      <c r="E47" s="19" t="inlineStr"/>
      <c r="F47" s="20" t="inlineStr">
        <is>
          <t>HTTP 403 Forbidden</t>
        </is>
      </c>
      <c r="G47" s="20" t="inlineStr"/>
      <c r="H47" s="19" t="inlineStr">
        <is>
          <t>SQA-Agent-02</t>
        </is>
      </c>
      <c r="I47" s="19" t="inlineStr"/>
    </row>
    <row r="48" ht="22" customHeight="1">
      <c r="A48" s="17" t="n">
        <v>47</v>
      </c>
      <c r="B48" s="18" t="inlineStr">
        <is>
          <t>RB-01</t>
        </is>
      </c>
      <c r="C48" s="18" t="inlineStr">
        <is>
          <t>Alpha token rejected by Beta Bank API</t>
        </is>
      </c>
      <c r="D48" s="18" t="inlineStr">
        <is>
          <t>Both banks created</t>
        </is>
      </c>
      <c r="E48" s="17" t="inlineStr"/>
      <c r="F48" s="18" t="inlineStr">
        <is>
          <t>HTTP 401/403</t>
        </is>
      </c>
      <c r="G48" s="18" t="inlineStr"/>
      <c r="H48" s="17" t="inlineStr">
        <is>
          <t>SQA-Agent-03</t>
        </is>
      </c>
      <c r="I48" s="17" t="inlineStr"/>
    </row>
    <row r="49" ht="22" customHeight="1">
      <c r="A49" s="19" t="n">
        <v>48</v>
      </c>
      <c r="B49" s="20" t="inlineStr">
        <is>
          <t>RB-02</t>
        </is>
      </c>
      <c r="C49" s="20" t="inlineStr">
        <is>
          <t>Alpha token sees 0 Beta contacts via REST</t>
        </is>
      </c>
      <c r="D49" s="20" t="inlineStr">
        <is>
          <t>RB-01 passed</t>
        </is>
      </c>
      <c r="E49" s="19" t="inlineStr"/>
      <c r="F49" s="20" t="inlineStr">
        <is>
          <t>count=0 or HTTP 403</t>
        </is>
      </c>
      <c r="G49" s="20" t="inlineStr"/>
      <c r="H49" s="19" t="inlineStr">
        <is>
          <t>SQA-Agent-03</t>
        </is>
      </c>
      <c r="I49" s="19" t="inlineStr"/>
    </row>
    <row r="50" ht="22" customHeight="1">
      <c r="A50" s="17" t="n">
        <v>49</v>
      </c>
      <c r="B50" s="18" t="inlineStr">
        <is>
          <t>RB-03</t>
        </is>
      </c>
      <c r="C50" s="18" t="inlineStr">
        <is>
          <t>Alpha token sees 0 Beta tickets</t>
        </is>
      </c>
      <c r="D50" s="18" t="inlineStr">
        <is>
          <t>RB-01 passed</t>
        </is>
      </c>
      <c r="E50" s="17" t="inlineStr"/>
      <c r="F50" s="18" t="inlineStr">
        <is>
          <t>count=0 or HTTP 403</t>
        </is>
      </c>
      <c r="G50" s="18" t="inlineStr"/>
      <c r="H50" s="17" t="inlineStr">
        <is>
          <t>SQA-Agent-03</t>
        </is>
      </c>
      <c r="I50" s="17" t="inlineStr"/>
    </row>
    <row r="51" ht="22" customHeight="1">
      <c r="A51" s="19" t="n">
        <v>50</v>
      </c>
      <c r="B51" s="20" t="inlineStr">
        <is>
          <t>RB-04</t>
        </is>
      </c>
      <c r="C51" s="20" t="inlineStr">
        <is>
          <t>PostgreSQL RLS tenant isolation verified</t>
        </is>
      </c>
      <c r="D51" s="20" t="inlineStr">
        <is>
          <t>DB accessible</t>
        </is>
      </c>
      <c r="E51" s="19" t="inlineStr"/>
      <c r="F51" s="20" t="inlineStr">
        <is>
          <t>Contacts filtered by tenant_id</t>
        </is>
      </c>
      <c r="G51" s="20" t="inlineStr"/>
      <c r="H51" s="19" t="inlineStr">
        <is>
          <t>SQA-Agent-03</t>
        </is>
      </c>
      <c r="I51" s="19" t="inlineStr"/>
    </row>
    <row r="52" ht="22" customHeight="1">
      <c r="A52" s="17" t="n">
        <v>51</v>
      </c>
      <c r="B52" s="18" t="inlineStr">
        <is>
          <t>RB-05</t>
        </is>
      </c>
      <c r="C52" s="18" t="inlineStr">
        <is>
          <t>Beta token sees 0 Alpha contacts</t>
        </is>
      </c>
      <c r="D52" s="18" t="inlineStr">
        <is>
          <t>Both banks created</t>
        </is>
      </c>
      <c r="E52" s="17" t="inlineStr"/>
      <c r="F52" s="18" t="inlineStr">
        <is>
          <t>count=0 or HTTP 403</t>
        </is>
      </c>
      <c r="G52" s="18" t="inlineStr"/>
      <c r="H52" s="17" t="inlineStr">
        <is>
          <t>SQA-Agent-03</t>
        </is>
      </c>
      <c r="I52" s="17" t="inlineStr"/>
    </row>
    <row r="53" ht="22" customHeight="1">
      <c r="A53" s="19" t="n">
        <v>52</v>
      </c>
      <c r="B53" s="20" t="inlineStr">
        <is>
          <t>RB-07</t>
        </is>
      </c>
      <c r="C53" s="20" t="inlineStr">
        <is>
          <t>Agent can view their own contact</t>
        </is>
      </c>
      <c r="D53" s="20" t="inlineStr">
        <is>
          <t>Contact seeded</t>
        </is>
      </c>
      <c r="E53" s="19" t="inlineStr"/>
      <c r="F53" s="20" t="inlineStr">
        <is>
          <t>HTTP 200, contact returned</t>
        </is>
      </c>
      <c r="G53" s="20" t="inlineStr"/>
      <c r="H53" s="19" t="inlineStr">
        <is>
          <t>SQA-Agent-03</t>
        </is>
      </c>
      <c r="I53" s="19" t="inlineStr"/>
    </row>
    <row r="54" ht="22" customHeight="1">
      <c r="A54" s="17" t="n">
        <v>53</v>
      </c>
      <c r="B54" s="18" t="inlineStr">
        <is>
          <t>RB-08</t>
        </is>
      </c>
      <c r="C54" s="18" t="inlineStr">
        <is>
          <t>Agent contact list returns own records</t>
        </is>
      </c>
      <c r="D54" s="18" t="inlineStr">
        <is>
          <t>Agent logged in</t>
        </is>
      </c>
      <c r="E54" s="17" t="inlineStr"/>
      <c r="F54" s="18" t="inlineStr">
        <is>
          <t>HTTP 200, array</t>
        </is>
      </c>
      <c r="G54" s="18" t="inlineStr"/>
      <c r="H54" s="17" t="inlineStr">
        <is>
          <t>SQA-Agent-03</t>
        </is>
      </c>
      <c r="I54" s="17" t="inlineStr"/>
    </row>
    <row r="55" ht="22" customHeight="1">
      <c r="A55" s="19" t="n">
        <v>54</v>
      </c>
      <c r="B55" s="20" t="inlineStr">
        <is>
          <t>RB-09</t>
        </is>
      </c>
      <c r="C55" s="20" t="inlineStr">
        <is>
          <t>Manager can list ALL contacts in tenant</t>
        </is>
      </c>
      <c r="D55" s="20" t="inlineStr">
        <is>
          <t>Manager logged in</t>
        </is>
      </c>
      <c r="E55" s="19" t="inlineStr"/>
      <c r="F55" s="20" t="inlineStr">
        <is>
          <t>HTTP 200, includes all dept contacts</t>
        </is>
      </c>
      <c r="G55" s="20" t="inlineStr"/>
      <c r="H55" s="19" t="inlineStr">
        <is>
          <t>SQA-Agent-03</t>
        </is>
      </c>
      <c r="I55" s="19" t="inlineStr"/>
    </row>
    <row r="56" ht="22" customHeight="1">
      <c r="A56" s="17" t="n">
        <v>55</v>
      </c>
      <c r="B56" s="18" t="inlineStr">
        <is>
          <t>RB-10</t>
        </is>
      </c>
      <c r="C56" s="18" t="inlineStr">
        <is>
          <t>Manager sees Retail agent contacts</t>
        </is>
      </c>
      <c r="D56" s="18" t="inlineStr">
        <is>
          <t>Contacts seeded</t>
        </is>
      </c>
      <c r="E56" s="17" t="inlineStr"/>
      <c r="F56" s="18" t="inlineStr">
        <is>
          <t>Retail contact in manager's list</t>
        </is>
      </c>
      <c r="G56" s="18" t="inlineStr"/>
      <c r="H56" s="17" t="inlineStr">
        <is>
          <t>SQA-Agent-03</t>
        </is>
      </c>
      <c r="I56" s="17" t="inlineStr"/>
    </row>
    <row r="57" ht="22" customHeight="1">
      <c r="A57" s="19" t="n">
        <v>56</v>
      </c>
      <c r="B57" s="20" t="inlineStr">
        <is>
          <t>RB-11</t>
        </is>
      </c>
      <c r="C57" s="20" t="inlineStr">
        <is>
          <t>Manager sees Loans agent contacts</t>
        </is>
      </c>
      <c r="D57" s="20" t="inlineStr">
        <is>
          <t>Contacts seeded</t>
        </is>
      </c>
      <c r="E57" s="19" t="inlineStr"/>
      <c r="F57" s="20" t="inlineStr">
        <is>
          <t>Loans contact in manager's list</t>
        </is>
      </c>
      <c r="G57" s="20" t="inlineStr"/>
      <c r="H57" s="19" t="inlineStr">
        <is>
          <t>SQA-Agent-03</t>
        </is>
      </c>
      <c r="I57" s="19" t="inlineStr"/>
    </row>
    <row r="58" ht="22" customHeight="1">
      <c r="A58" s="17" t="n">
        <v>57</v>
      </c>
      <c r="B58" s="18" t="inlineStr">
        <is>
          <t>RB-12</t>
        </is>
      </c>
      <c r="C58" s="18" t="inlineStr">
        <is>
          <t>Retail agent blocked from Loans contact (403/404)</t>
        </is>
      </c>
      <c r="D58" s="18" t="inlineStr">
        <is>
          <t>Loans contact seeded</t>
        </is>
      </c>
      <c r="E58" s="17" t="inlineStr"/>
      <c r="F58" s="18" t="inlineStr">
        <is>
          <t>HTTP 403 or 404</t>
        </is>
      </c>
      <c r="G58" s="18" t="inlineStr"/>
      <c r="H58" s="17" t="inlineStr">
        <is>
          <t>SQA-Agent-03</t>
        </is>
      </c>
      <c r="I58" s="17" t="inlineStr"/>
    </row>
    <row r="59" ht="22" customHeight="1">
      <c r="A59" s="19" t="n">
        <v>58</v>
      </c>
      <c r="B59" s="20" t="inlineStr">
        <is>
          <t>RB-13</t>
        </is>
      </c>
      <c r="C59" s="20" t="inlineStr">
        <is>
          <t>Agent can view own ticket</t>
        </is>
      </c>
      <c r="D59" s="20" t="inlineStr">
        <is>
          <t>Ticket seeded</t>
        </is>
      </c>
      <c r="E59" s="19" t="inlineStr"/>
      <c r="F59" s="20" t="inlineStr">
        <is>
          <t>HTTP 200</t>
        </is>
      </c>
      <c r="G59" s="20" t="inlineStr"/>
      <c r="H59" s="19" t="inlineStr">
        <is>
          <t>SQA-Agent-03</t>
        </is>
      </c>
      <c r="I59" s="19" t="inlineStr"/>
    </row>
    <row r="60" ht="22" customHeight="1">
      <c r="A60" s="17" t="n">
        <v>59</v>
      </c>
      <c r="B60" s="18" t="inlineStr">
        <is>
          <t>RB-14</t>
        </is>
      </c>
      <c r="C60" s="18" t="inlineStr">
        <is>
          <t>Manager can list all tickets</t>
        </is>
      </c>
      <c r="D60" s="18" t="inlineStr">
        <is>
          <t>Tickets seeded</t>
        </is>
      </c>
      <c r="E60" s="17" t="inlineStr"/>
      <c r="F60" s="18" t="inlineStr">
        <is>
          <t>HTTP 200, all-dept tickets visible</t>
        </is>
      </c>
      <c r="G60" s="18" t="inlineStr"/>
      <c r="H60" s="17" t="inlineStr">
        <is>
          <t>SQA-Agent-03</t>
        </is>
      </c>
      <c r="I60" s="17" t="inlineStr"/>
    </row>
    <row r="61" ht="22" customHeight="1">
      <c r="A61" s="19" t="n">
        <v>60</v>
      </c>
      <c r="B61" s="20" t="inlineStr">
        <is>
          <t>RB-15</t>
        </is>
      </c>
      <c r="C61" s="20" t="inlineStr">
        <is>
          <t>Manager sees Retail agent ticket</t>
        </is>
      </c>
      <c r="D61" s="20" t="inlineStr">
        <is>
          <t>Ticket seeded</t>
        </is>
      </c>
      <c r="E61" s="19" t="inlineStr"/>
      <c r="F61" s="20" t="inlineStr">
        <is>
          <t>Ticket ID in manager's list</t>
        </is>
      </c>
      <c r="G61" s="20" t="inlineStr"/>
      <c r="H61" s="19" t="inlineStr">
        <is>
          <t>SQA-Agent-03</t>
        </is>
      </c>
      <c r="I61" s="19" t="inlineStr"/>
    </row>
    <row r="62" ht="22" customHeight="1">
      <c r="A62" s="17" t="n">
        <v>61</v>
      </c>
      <c r="B62" s="18" t="inlineStr">
        <is>
          <t>RB-16</t>
        </is>
      </c>
      <c r="C62" s="18" t="inlineStr">
        <is>
          <t>Manager sees Support agent ticket</t>
        </is>
      </c>
      <c r="D62" s="18" t="inlineStr">
        <is>
          <t>Ticket seeded</t>
        </is>
      </c>
      <c r="E62" s="17" t="inlineStr"/>
      <c r="F62" s="18" t="inlineStr">
        <is>
          <t>Ticket ID in manager's list</t>
        </is>
      </c>
      <c r="G62" s="18" t="inlineStr"/>
      <c r="H62" s="17" t="inlineStr">
        <is>
          <t>SQA-Agent-03</t>
        </is>
      </c>
      <c r="I62" s="17" t="inlineStr"/>
    </row>
    <row r="63" ht="22" customHeight="1">
      <c r="A63" s="19" t="n">
        <v>62</v>
      </c>
      <c r="B63" s="20" t="inlineStr">
        <is>
          <t>RB-17</t>
        </is>
      </c>
      <c r="C63" s="20" t="inlineStr">
        <is>
          <t>Retail agent blocked from Support ticket (403/404)</t>
        </is>
      </c>
      <c r="D63" s="20" t="inlineStr">
        <is>
          <t>Tickets seeded</t>
        </is>
      </c>
      <c r="E63" s="19" t="inlineStr"/>
      <c r="F63" s="20" t="inlineStr">
        <is>
          <t>HTTP 403 or 404</t>
        </is>
      </c>
      <c r="G63" s="20" t="inlineStr"/>
      <c r="H63" s="19" t="inlineStr">
        <is>
          <t>SQA-Agent-03</t>
        </is>
      </c>
      <c r="I63" s="19" t="inlineStr"/>
    </row>
    <row r="64" ht="22" customHeight="1">
      <c r="A64" s="17" t="n">
        <v>63</v>
      </c>
      <c r="B64" s="18" t="inlineStr">
        <is>
          <t>RB-19</t>
        </is>
      </c>
      <c r="C64" s="18" t="inlineStr">
        <is>
          <t>Agent can view own deal</t>
        </is>
      </c>
      <c r="D64" s="18" t="inlineStr">
        <is>
          <t>Deal seeded</t>
        </is>
      </c>
      <c r="E64" s="17" t="inlineStr"/>
      <c r="F64" s="18" t="inlineStr">
        <is>
          <t>HTTP 200</t>
        </is>
      </c>
      <c r="G64" s="18" t="inlineStr"/>
      <c r="H64" s="17" t="inlineStr">
        <is>
          <t>SQA-Agent-03</t>
        </is>
      </c>
      <c r="I64" s="17" t="inlineStr"/>
    </row>
    <row r="65" ht="22" customHeight="1">
      <c r="A65" s="19" t="n">
        <v>64</v>
      </c>
      <c r="B65" s="20" t="inlineStr">
        <is>
          <t>RB-20</t>
        </is>
      </c>
      <c r="C65" s="20" t="inlineStr">
        <is>
          <t>Manager can list all deals</t>
        </is>
      </c>
      <c r="D65" s="20" t="inlineStr">
        <is>
          <t>Deals seeded</t>
        </is>
      </c>
      <c r="E65" s="19" t="inlineStr"/>
      <c r="F65" s="20" t="inlineStr">
        <is>
          <t>HTTP 200</t>
        </is>
      </c>
      <c r="G65" s="20" t="inlineStr"/>
      <c r="H65" s="19" t="inlineStr">
        <is>
          <t>SQA-Agent-03</t>
        </is>
      </c>
      <c r="I65" s="19" t="inlineStr"/>
    </row>
    <row r="66" ht="22" customHeight="1">
      <c r="A66" s="17" t="n">
        <v>65</v>
      </c>
      <c r="B66" s="18" t="inlineStr">
        <is>
          <t>RB-21</t>
        </is>
      </c>
      <c r="C66" s="18" t="inlineStr">
        <is>
          <t>Manager sees agent deal in list</t>
        </is>
      </c>
      <c r="D66" s="18" t="inlineStr">
        <is>
          <t>Deal seeded</t>
        </is>
      </c>
      <c r="E66" s="17" t="inlineStr"/>
      <c r="F66" s="18" t="inlineStr">
        <is>
          <t>Deal ID in manager's list</t>
        </is>
      </c>
      <c r="G66" s="18" t="inlineStr"/>
      <c r="H66" s="17" t="inlineStr">
        <is>
          <t>SQA-Agent-03</t>
        </is>
      </c>
      <c r="I66" s="17" t="inlineStr"/>
    </row>
    <row r="67" ht="22" customHeight="1">
      <c r="A67" s="19" t="n">
        <v>66</v>
      </c>
      <c r="B67" s="20" t="inlineStr">
        <is>
          <t>RB-29</t>
        </is>
      </c>
      <c r="C67" s="20" t="inlineStr">
        <is>
          <t>Viewer can access analytics</t>
        </is>
      </c>
      <c r="D67" s="20" t="inlineStr">
        <is>
          <t>Viewer logged in</t>
        </is>
      </c>
      <c r="E67" s="19" t="inlineStr"/>
      <c r="F67" s="20" t="inlineStr">
        <is>
          <t>HTTP 200</t>
        </is>
      </c>
      <c r="G67" s="20" t="inlineStr"/>
      <c r="H67" s="19" t="inlineStr">
        <is>
          <t>SQA-Agent-03</t>
        </is>
      </c>
      <c r="I67" s="19" t="inlineStr"/>
    </row>
    <row r="68" ht="22" customHeight="1">
      <c r="A68" s="17" t="n">
        <v>67</v>
      </c>
      <c r="B68" s="18" t="inlineStr">
        <is>
          <t>RB-30</t>
        </is>
      </c>
      <c r="C68" s="18" t="inlineStr">
        <is>
          <t>Viewer cannot create contacts (403)</t>
        </is>
      </c>
      <c r="D68" s="18" t="inlineStr">
        <is>
          <t>Viewer logged in</t>
        </is>
      </c>
      <c r="E68" s="17" t="inlineStr"/>
      <c r="F68" s="18" t="inlineStr">
        <is>
          <t>HTTP 403</t>
        </is>
      </c>
      <c r="G68" s="18" t="inlineStr"/>
      <c r="H68" s="17" t="inlineStr">
        <is>
          <t>SQA-Agent-03</t>
        </is>
      </c>
      <c r="I68" s="17" t="inlineStr"/>
    </row>
    <row r="69" ht="22" customHeight="1">
      <c r="A69" s="19" t="n">
        <v>68</v>
      </c>
      <c r="B69" s="20" t="inlineStr">
        <is>
          <t>RB-31</t>
        </is>
      </c>
      <c r="C69" s="20" t="inlineStr">
        <is>
          <t>Viewer cannot create tickets (403)</t>
        </is>
      </c>
      <c r="D69" s="20" t="inlineStr">
        <is>
          <t>Viewer logged in</t>
        </is>
      </c>
      <c r="E69" s="19" t="inlineStr"/>
      <c r="F69" s="20" t="inlineStr">
        <is>
          <t>HTTP 403</t>
        </is>
      </c>
      <c r="G69" s="20" t="inlineStr"/>
      <c r="H69" s="19" t="inlineStr">
        <is>
          <t>SQA-Agent-03</t>
        </is>
      </c>
      <c r="I69" s="19" t="inlineStr"/>
    </row>
    <row r="70" ht="22" customHeight="1">
      <c r="A70" s="17" t="n">
        <v>69</v>
      </c>
      <c r="B70" s="18" t="inlineStr">
        <is>
          <t>RB-32</t>
        </is>
      </c>
      <c r="C70" s="18" t="inlineStr">
        <is>
          <t>Viewer cannot modify settings (403)</t>
        </is>
      </c>
      <c r="D70" s="18" t="inlineStr">
        <is>
          <t>Viewer logged in</t>
        </is>
      </c>
      <c r="E70" s="17" t="inlineStr"/>
      <c r="F70" s="18" t="inlineStr">
        <is>
          <t>HTTP 403</t>
        </is>
      </c>
      <c r="G70" s="18" t="inlineStr"/>
      <c r="H70" s="17" t="inlineStr">
        <is>
          <t>SQA-Agent-03</t>
        </is>
      </c>
      <c r="I70" s="17" t="inlineStr"/>
    </row>
    <row r="71" ht="22" customHeight="1">
      <c r="A71" s="19" t="n">
        <v>70</v>
      </c>
      <c r="B71" s="20" t="inlineStr">
        <is>
          <t>M01-01</t>
        </is>
      </c>
      <c r="C71" s="20" t="inlineStr">
        <is>
          <t>Create contact with banking custom fields</t>
        </is>
      </c>
      <c r="D71" s="20" t="inlineStr">
        <is>
          <t>Agent logged in</t>
        </is>
      </c>
      <c r="E71" s="19" t="inlineStr"/>
      <c r="F71" s="20" t="inlineStr">
        <is>
          <t>201 Created, custom_fields stored</t>
        </is>
      </c>
      <c r="G71" s="20" t="inlineStr"/>
      <c r="H71" s="19" t="inlineStr">
        <is>
          <t>SQA-Agent-04</t>
        </is>
      </c>
      <c r="I71" s="19" t="inlineStr"/>
    </row>
    <row r="72" ht="22" customHeight="1">
      <c r="A72" s="17" t="n">
        <v>71</v>
      </c>
      <c r="B72" s="18" t="inlineStr">
        <is>
          <t>M01-02</t>
        </is>
      </c>
      <c r="C72" s="18" t="inlineStr">
        <is>
          <t>Read contact by ID</t>
        </is>
      </c>
      <c r="D72" s="18" t="inlineStr">
        <is>
          <t>M01-01 passed</t>
        </is>
      </c>
      <c r="E72" s="17" t="inlineStr"/>
      <c r="F72" s="18" t="inlineStr">
        <is>
          <t>200 OK, correct contact returned</t>
        </is>
      </c>
      <c r="G72" s="18" t="inlineStr"/>
      <c r="H72" s="17" t="inlineStr">
        <is>
          <t>SQA-Agent-04</t>
        </is>
      </c>
      <c r="I72" s="17" t="inlineStr"/>
    </row>
    <row r="73" ht="22" customHeight="1">
      <c r="A73" s="19" t="n">
        <v>72</v>
      </c>
      <c r="B73" s="20" t="inlineStr">
        <is>
          <t>M01-03</t>
        </is>
      </c>
      <c r="C73" s="20" t="inlineStr">
        <is>
          <t>Update contact status and score</t>
        </is>
      </c>
      <c r="D73" s="20" t="inlineStr">
        <is>
          <t>M01-01 passed</t>
        </is>
      </c>
      <c r="E73" s="19" t="inlineStr"/>
      <c r="F73" s="20" t="inlineStr">
        <is>
          <t>200 OK, changes persisted</t>
        </is>
      </c>
      <c r="G73" s="20" t="inlineStr"/>
      <c r="H73" s="19" t="inlineStr">
        <is>
          <t>SQA-Agent-04</t>
        </is>
      </c>
      <c r="I73" s="19" t="inlineStr"/>
    </row>
    <row r="74" ht="22" customHeight="1">
      <c r="A74" s="17" t="n">
        <v>73</v>
      </c>
      <c r="B74" s="18" t="inlineStr">
        <is>
          <t>M01-04</t>
        </is>
      </c>
      <c r="C74" s="18" t="inlineStr">
        <is>
          <t>Contact timeline returns activity feed</t>
        </is>
      </c>
      <c r="D74" s="18" t="inlineStr">
        <is>
          <t>M01-01 passed</t>
        </is>
      </c>
      <c r="E74" s="17" t="inlineStr"/>
      <c r="F74" s="18" t="inlineStr">
        <is>
          <t>200 OK</t>
        </is>
      </c>
      <c r="G74" s="18" t="inlineStr"/>
      <c r="H74" s="17" t="inlineStr">
        <is>
          <t>SQA-Agent-04</t>
        </is>
      </c>
      <c r="I74" s="17" t="inlineStr"/>
    </row>
    <row r="75" ht="22" customHeight="1">
      <c r="A75" s="19" t="n">
        <v>74</v>
      </c>
      <c r="B75" s="20" t="inlineStr">
        <is>
          <t>M01-05</t>
        </is>
      </c>
      <c r="C75" s="20" t="inlineStr">
        <is>
          <t>Contact list with status filter</t>
        </is>
      </c>
      <c r="D75" s="20" t="inlineStr">
        <is>
          <t>Agent logged in</t>
        </is>
      </c>
      <c r="E75" s="19" t="inlineStr"/>
      <c r="F75" s="20" t="inlineStr">
        <is>
          <t>200 OK, filtered results</t>
        </is>
      </c>
      <c r="G75" s="20" t="inlineStr"/>
      <c r="H75" s="19" t="inlineStr">
        <is>
          <t>SQA-Agent-04</t>
        </is>
      </c>
      <c r="I75" s="19" t="inlineStr"/>
    </row>
    <row r="76" ht="22" customHeight="1">
      <c r="A76" s="17" t="n">
        <v>75</v>
      </c>
      <c r="B76" s="18" t="inlineStr">
        <is>
          <t>M02-01</t>
        </is>
      </c>
      <c r="C76" s="18" t="inlineStr">
        <is>
          <t>Create company</t>
        </is>
      </c>
      <c r="D76" s="18" t="inlineStr">
        <is>
          <t>Agent logged in</t>
        </is>
      </c>
      <c r="E76" s="17" t="inlineStr"/>
      <c r="F76" s="18" t="inlineStr">
        <is>
          <t>201 Created</t>
        </is>
      </c>
      <c r="G76" s="18" t="inlineStr"/>
      <c r="H76" s="17" t="inlineStr">
        <is>
          <t>SQA-Agent-04</t>
        </is>
      </c>
      <c r="I76" s="17" t="inlineStr"/>
    </row>
    <row r="77" ht="22" customHeight="1">
      <c r="A77" s="19" t="n">
        <v>76</v>
      </c>
      <c r="B77" s="20" t="inlineStr">
        <is>
          <t>M02-02</t>
        </is>
      </c>
      <c r="C77" s="20" t="inlineStr">
        <is>
          <t>Link contact to company</t>
        </is>
      </c>
      <c r="D77" s="20" t="inlineStr">
        <is>
          <t>M01-01, M02-01</t>
        </is>
      </c>
      <c r="E77" s="19" t="inlineStr"/>
      <c r="F77" s="20" t="inlineStr">
        <is>
          <t>200 OK, contact.company_id set</t>
        </is>
      </c>
      <c r="G77" s="20" t="inlineStr"/>
      <c r="H77" s="19" t="inlineStr">
        <is>
          <t>SQA-Agent-04</t>
        </is>
      </c>
      <c r="I77" s="19" t="inlineStr"/>
    </row>
    <row r="78" ht="22" customHeight="1">
      <c r="A78" s="17" t="n">
        <v>77</v>
      </c>
      <c r="B78" s="18" t="inlineStr">
        <is>
          <t>M03-01</t>
        </is>
      </c>
      <c r="C78" s="18" t="inlineStr">
        <is>
          <t>List pipelines</t>
        </is>
      </c>
      <c r="D78" s="18" t="inlineStr">
        <is>
          <t>Manager logged in</t>
        </is>
      </c>
      <c r="E78" s="17" t="inlineStr"/>
      <c r="F78" s="18" t="inlineStr">
        <is>
          <t>200 OK, pipeline list</t>
        </is>
      </c>
      <c r="G78" s="18" t="inlineStr"/>
      <c r="H78" s="17" t="inlineStr">
        <is>
          <t>SQA-Agent-04</t>
        </is>
      </c>
      <c r="I78" s="17" t="inlineStr"/>
    </row>
    <row r="79" ht="22" customHeight="1">
      <c r="A79" s="19" t="n">
        <v>78</v>
      </c>
      <c r="B79" s="20" t="inlineStr">
        <is>
          <t>M03-02</t>
        </is>
      </c>
      <c r="C79" s="20" t="inlineStr">
        <is>
          <t>Create pipeline with 5 stages</t>
        </is>
      </c>
      <c r="D79" s="20" t="inlineStr">
        <is>
          <t>Admin logged in</t>
        </is>
      </c>
      <c r="E79" s="19" t="inlineStr"/>
      <c r="F79" s="20" t="inlineStr">
        <is>
          <t>201 Created with stages array</t>
        </is>
      </c>
      <c r="G79" s="20" t="inlineStr"/>
      <c r="H79" s="19" t="inlineStr">
        <is>
          <t>SQA-Agent-04</t>
        </is>
      </c>
      <c r="I79" s="19" t="inlineStr"/>
    </row>
    <row r="80" ht="22" customHeight="1">
      <c r="A80" s="17" t="n">
        <v>79</v>
      </c>
      <c r="B80" s="18" t="inlineStr">
        <is>
          <t>M03-03</t>
        </is>
      </c>
      <c r="C80" s="18" t="inlineStr">
        <is>
          <t>Create deal in pipeline stage</t>
        </is>
      </c>
      <c r="D80" s="18" t="inlineStr">
        <is>
          <t>Pipeline exists</t>
        </is>
      </c>
      <c r="E80" s="17" t="inlineStr"/>
      <c r="F80" s="18" t="inlineStr">
        <is>
          <t>201 Created, deal in correct stage</t>
        </is>
      </c>
      <c r="G80" s="18" t="inlineStr"/>
      <c r="H80" s="17" t="inlineStr">
        <is>
          <t>SQA-Agent-04</t>
        </is>
      </c>
      <c r="I80" s="17" t="inlineStr"/>
    </row>
    <row r="81" ht="22" customHeight="1">
      <c r="A81" s="19" t="n">
        <v>80</v>
      </c>
      <c r="B81" s="20" t="inlineStr">
        <is>
          <t>M03-04</t>
        </is>
      </c>
      <c r="C81" s="20" t="inlineStr">
        <is>
          <t>Move deal to next stage + update value</t>
        </is>
      </c>
      <c r="D81" s="20" t="inlineStr">
        <is>
          <t>M03-03 passed</t>
        </is>
      </c>
      <c r="E81" s="19" t="inlineStr"/>
      <c r="F81" s="20" t="inlineStr">
        <is>
          <t>200 OK, stage_id updated</t>
        </is>
      </c>
      <c r="G81" s="20" t="inlineStr"/>
      <c r="H81" s="19" t="inlineStr">
        <is>
          <t>SQA-Agent-04</t>
        </is>
      </c>
      <c r="I81" s="19" t="inlineStr"/>
    </row>
    <row r="82" ht="22" customHeight="1">
      <c r="A82" s="17" t="n">
        <v>81</v>
      </c>
      <c r="B82" s="18" t="inlineStr">
        <is>
          <t>M03-05</t>
        </is>
      </c>
      <c r="C82" s="18" t="inlineStr">
        <is>
          <t>Deal history/audit trail accessible</t>
        </is>
      </c>
      <c r="D82" s="18" t="inlineStr">
        <is>
          <t>M03-03 passed</t>
        </is>
      </c>
      <c r="E82" s="17" t="inlineStr"/>
      <c r="F82" s="18" t="inlineStr">
        <is>
          <t>200 OK, audit entries</t>
        </is>
      </c>
      <c r="G82" s="18" t="inlineStr"/>
      <c r="H82" s="17" t="inlineStr">
        <is>
          <t>SQA-Agent-04</t>
        </is>
      </c>
      <c r="I82" s="17" t="inlineStr"/>
    </row>
    <row r="83" ht="22" customHeight="1">
      <c r="A83" s="19" t="n">
        <v>82</v>
      </c>
      <c r="B83" s="20" t="inlineStr">
        <is>
          <t>M04-01</t>
        </is>
      </c>
      <c r="C83" s="20" t="inlineStr">
        <is>
          <t>Create call activity linked to contact+deal</t>
        </is>
      </c>
      <c r="D83" s="20" t="inlineStr">
        <is>
          <t>Both exist</t>
        </is>
      </c>
      <c r="E83" s="19" t="inlineStr"/>
      <c r="F83" s="20" t="inlineStr">
        <is>
          <t>201 Created, linked IDs set</t>
        </is>
      </c>
      <c r="G83" s="20" t="inlineStr"/>
      <c r="H83" s="19" t="inlineStr">
        <is>
          <t>SQA-Agent-04</t>
        </is>
      </c>
      <c r="I83" s="19" t="inlineStr"/>
    </row>
    <row r="84" ht="22" customHeight="1">
      <c r="A84" s="17" t="n">
        <v>83</v>
      </c>
      <c r="B84" s="18" t="inlineStr">
        <is>
          <t>M04-02</t>
        </is>
      </c>
      <c r="C84" s="18" t="inlineStr">
        <is>
          <t>Create meeting activity</t>
        </is>
      </c>
      <c r="D84" s="18" t="inlineStr">
        <is>
          <t>Agent logged in</t>
        </is>
      </c>
      <c r="E84" s="17" t="inlineStr"/>
      <c r="F84" s="18" t="inlineStr">
        <is>
          <t>201 Created</t>
        </is>
      </c>
      <c r="G84" s="18" t="inlineStr"/>
      <c r="H84" s="17" t="inlineStr">
        <is>
          <t>SQA-Agent-04</t>
        </is>
      </c>
      <c r="I84" s="17" t="inlineStr"/>
    </row>
    <row r="85" ht="22" customHeight="1">
      <c r="A85" s="19" t="n">
        <v>84</v>
      </c>
      <c r="B85" s="20" t="inlineStr">
        <is>
          <t>M04-03</t>
        </is>
      </c>
      <c r="C85" s="20" t="inlineStr">
        <is>
          <t>Filter activities by type</t>
        </is>
      </c>
      <c r="D85" s="20" t="inlineStr">
        <is>
          <t>Activities exist</t>
        </is>
      </c>
      <c r="E85" s="19" t="inlineStr"/>
      <c r="F85" s="20" t="inlineStr">
        <is>
          <t>200 OK, filtered array</t>
        </is>
      </c>
      <c r="G85" s="20" t="inlineStr"/>
      <c r="H85" s="19" t="inlineStr">
        <is>
          <t>SQA-Agent-04</t>
        </is>
      </c>
      <c r="I85" s="19" t="inlineStr"/>
    </row>
    <row r="86" ht="22" customHeight="1">
      <c r="A86" s="17" t="n">
        <v>85</v>
      </c>
      <c r="B86" s="18" t="inlineStr">
        <is>
          <t>M04-04</t>
        </is>
      </c>
      <c r="C86" s="18" t="inlineStr">
        <is>
          <t>Mark activity as done</t>
        </is>
      </c>
      <c r="D86" s="18" t="inlineStr">
        <is>
          <t>M04-01 passed</t>
        </is>
      </c>
      <c r="E86" s="17" t="inlineStr"/>
      <c r="F86" s="18" t="inlineStr">
        <is>
          <t>200 OK, status=done</t>
        </is>
      </c>
      <c r="G86" s="18" t="inlineStr"/>
      <c r="H86" s="17" t="inlineStr">
        <is>
          <t>SQA-Agent-04</t>
        </is>
      </c>
      <c r="I86" s="17" t="inlineStr"/>
    </row>
    <row r="87" ht="22" customHeight="1">
      <c r="A87" s="19" t="n">
        <v>86</v>
      </c>
      <c r="B87" s="20" t="inlineStr">
        <is>
          <t>M05-01</t>
        </is>
      </c>
      <c r="C87" s="20" t="inlineStr">
        <is>
          <t>Create ticket (Banking: Case type)</t>
        </is>
      </c>
      <c r="D87" s="20" t="inlineStr">
        <is>
          <t>Agent logged in</t>
        </is>
      </c>
      <c r="E87" s="19" t="inlineStr"/>
      <c r="F87" s="20" t="inlineStr">
        <is>
          <t>201 Created, type=case</t>
        </is>
      </c>
      <c r="G87" s="20" t="inlineStr"/>
      <c r="H87" s="19" t="inlineStr">
        <is>
          <t>SQA-Agent-04</t>
        </is>
      </c>
      <c r="I87" s="19" t="inlineStr"/>
    </row>
    <row r="88" ht="22" customHeight="1">
      <c r="A88" s="17" t="n">
        <v>87</v>
      </c>
      <c r="B88" s="18" t="inlineStr">
        <is>
          <t>M05-02</t>
        </is>
      </c>
      <c r="C88" s="18" t="inlineStr">
        <is>
          <t>Update ticket assignment</t>
        </is>
      </c>
      <c r="D88" s="18" t="inlineStr">
        <is>
          <t>M05-01 passed</t>
        </is>
      </c>
      <c r="E88" s="17" t="inlineStr"/>
      <c r="F88" s="18" t="inlineStr">
        <is>
          <t>200 OK</t>
        </is>
      </c>
      <c r="G88" s="18" t="inlineStr"/>
      <c r="H88" s="17" t="inlineStr">
        <is>
          <t>SQA-Agent-04</t>
        </is>
      </c>
      <c r="I88" s="17" t="inlineStr"/>
    </row>
    <row r="89" ht="22" customHeight="1">
      <c r="A89" s="19" t="n">
        <v>88</v>
      </c>
      <c r="B89" s="20" t="inlineStr">
        <is>
          <t>M05-03</t>
        </is>
      </c>
      <c r="C89" s="20" t="inlineStr">
        <is>
          <t>Add internal comment to ticket</t>
        </is>
      </c>
      <c r="D89" s="20" t="inlineStr">
        <is>
          <t>M05-01 passed</t>
        </is>
      </c>
      <c r="E89" s="19" t="inlineStr"/>
      <c r="F89" s="20" t="inlineStr">
        <is>
          <t>201 Created, is_internal=true</t>
        </is>
      </c>
      <c r="G89" s="20" t="inlineStr"/>
      <c r="H89" s="19" t="inlineStr">
        <is>
          <t>SQA-Agent-04</t>
        </is>
      </c>
      <c r="I89" s="19" t="inlineStr"/>
    </row>
    <row r="90" ht="22" customHeight="1">
      <c r="A90" s="17" t="n">
        <v>89</v>
      </c>
      <c r="B90" s="18" t="inlineStr">
        <is>
          <t>M05-04</t>
        </is>
      </c>
      <c r="C90" s="18" t="inlineStr">
        <is>
          <t>Ticket detail includes SLA info</t>
        </is>
      </c>
      <c r="D90" s="18" t="inlineStr">
        <is>
          <t>M05-01 passed</t>
        </is>
      </c>
      <c r="E90" s="17" t="inlineStr"/>
      <c r="F90" s="18" t="inlineStr">
        <is>
          <t>SLA fields present in response</t>
        </is>
      </c>
      <c r="G90" s="18" t="inlineStr"/>
      <c r="H90" s="17" t="inlineStr">
        <is>
          <t>SQA-Agent-04</t>
        </is>
      </c>
      <c r="I90" s="17" t="inlineStr"/>
    </row>
    <row r="91" ht="22" customHeight="1">
      <c r="A91" s="19" t="n">
        <v>90</v>
      </c>
      <c r="B91" s="20" t="inlineStr">
        <is>
          <t>M05-05</t>
        </is>
      </c>
      <c r="C91" s="20" t="inlineStr">
        <is>
          <t>Close ticket triggers CSAT survey</t>
        </is>
      </c>
      <c r="D91" s="20" t="inlineStr">
        <is>
          <t>M05-01 passed</t>
        </is>
      </c>
      <c r="E91" s="19" t="inlineStr"/>
      <c r="F91" s="20" t="inlineStr">
        <is>
          <t>status=closed, CSAT auto-created</t>
        </is>
      </c>
      <c r="G91" s="20" t="inlineStr"/>
      <c r="H91" s="19" t="inlineStr">
        <is>
          <t>SQA-Agent-04</t>
        </is>
      </c>
      <c r="I91" s="19" t="inlineStr"/>
    </row>
    <row r="92" ht="22" customHeight="1">
      <c r="A92" s="17" t="n">
        <v>91</v>
      </c>
      <c r="B92" s="18" t="inlineStr">
        <is>
          <t>M06-01</t>
        </is>
      </c>
      <c r="C92" s="18" t="inlineStr">
        <is>
          <t>CSAT survey auto-created on ticket close</t>
        </is>
      </c>
      <c r="D92" s="18" t="inlineStr">
        <is>
          <t>M05-05 passed</t>
        </is>
      </c>
      <c r="E92" s="17" t="inlineStr"/>
      <c r="F92" s="18" t="inlineStr">
        <is>
          <t>CSAT survey record exists</t>
        </is>
      </c>
      <c r="G92" s="18" t="inlineStr"/>
      <c r="H92" s="17" t="inlineStr">
        <is>
          <t>SQA-Agent-04</t>
        </is>
      </c>
      <c r="I92" s="17" t="inlineStr"/>
    </row>
    <row r="93" ht="22" customHeight="1">
      <c r="A93" s="19" t="n">
        <v>92</v>
      </c>
      <c r="B93" s="20" t="inlineStr">
        <is>
          <t>M07-01</t>
        </is>
      </c>
      <c r="C93" s="20" t="inlineStr">
        <is>
          <t>Analytics dashboard accessible to manager</t>
        </is>
      </c>
      <c r="D93" s="20" t="inlineStr">
        <is>
          <t>Manager logged in</t>
        </is>
      </c>
      <c r="E93" s="19" t="inlineStr"/>
      <c r="F93" s="20" t="inlineStr">
        <is>
          <t>200 OK</t>
        </is>
      </c>
      <c r="G93" s="20" t="inlineStr"/>
      <c r="H93" s="19" t="inlineStr">
        <is>
          <t>SQA-Agent-04</t>
        </is>
      </c>
      <c r="I93" s="19" t="inlineStr"/>
    </row>
    <row r="94" ht="22" customHeight="1">
      <c r="A94" s="17" t="n">
        <v>93</v>
      </c>
      <c r="B94" s="18" t="inlineStr">
        <is>
          <t>M07-02</t>
        </is>
      </c>
      <c r="C94" s="18" t="inlineStr">
        <is>
          <t>Pipeline analytics endpoint responds</t>
        </is>
      </c>
      <c r="D94" s="18" t="inlineStr">
        <is>
          <t>Manager logged in</t>
        </is>
      </c>
      <c r="E94" s="17" t="inlineStr"/>
      <c r="F94" s="18" t="inlineStr">
        <is>
          <t>200 OK</t>
        </is>
      </c>
      <c r="G94" s="18" t="inlineStr"/>
      <c r="H94" s="17" t="inlineStr">
        <is>
          <t>SQA-Agent-04</t>
        </is>
      </c>
      <c r="I94" s="17" t="inlineStr"/>
    </row>
    <row r="95" ht="22" customHeight="1">
      <c r="A95" s="19" t="n">
        <v>94</v>
      </c>
      <c r="B95" s="20" t="inlineStr">
        <is>
          <t>M07-03</t>
        </is>
      </c>
      <c r="C95" s="20" t="inlineStr">
        <is>
          <t>Ticket analytics overview responds</t>
        </is>
      </c>
      <c r="D95" s="20" t="inlineStr">
        <is>
          <t>Manager logged in</t>
        </is>
      </c>
      <c r="E95" s="19" t="inlineStr"/>
      <c r="F95" s="20" t="inlineStr">
        <is>
          <t>200 OK</t>
        </is>
      </c>
      <c r="G95" s="20" t="inlineStr"/>
      <c r="H95" s="19" t="inlineStr">
        <is>
          <t>SQA-Agent-04</t>
        </is>
      </c>
      <c r="I95" s="19" t="inlineStr"/>
    </row>
    <row r="96" ht="22" customHeight="1">
      <c r="A96" s="17" t="n">
        <v>95</v>
      </c>
      <c r="B96" s="18" t="inlineStr">
        <is>
          <t>M08-01</t>
        </is>
      </c>
      <c r="C96" s="18" t="inlineStr">
        <is>
          <t>Create billing contact (Alpha Bank)</t>
        </is>
      </c>
      <c r="D96" s="18" t="inlineStr">
        <is>
          <t>Admin logged in, sales module active</t>
        </is>
      </c>
      <c r="E96" s="17" t="inlineStr"/>
      <c r="F96" s="18" t="inlineStr">
        <is>
          <t>201 Created</t>
        </is>
      </c>
      <c r="G96" s="18" t="inlineStr"/>
      <c r="H96" s="17" t="inlineStr">
        <is>
          <t>SQA-Agent-04</t>
        </is>
      </c>
      <c r="I96" s="17" t="inlineStr"/>
    </row>
    <row r="97" ht="22" customHeight="1">
      <c r="A97" s="19" t="n">
        <v>96</v>
      </c>
      <c r="B97" s="20" t="inlineStr">
        <is>
          <t>M08-02</t>
        </is>
      </c>
      <c r="C97" s="20" t="inlineStr">
        <is>
          <t>Create invoice with line items</t>
        </is>
      </c>
      <c r="D97" s="20" t="inlineStr">
        <is>
          <t>M08-01 passed</t>
        </is>
      </c>
      <c r="E97" s="19" t="inlineStr"/>
      <c r="F97" s="20" t="inlineStr">
        <is>
          <t>201 Created, subtotal calculated</t>
        </is>
      </c>
      <c r="G97" s="20" t="inlineStr"/>
      <c r="H97" s="19" t="inlineStr">
        <is>
          <t>SQA-Agent-04</t>
        </is>
      </c>
      <c r="I97" s="19" t="inlineStr"/>
    </row>
    <row r="98" ht="22" customHeight="1">
      <c r="A98" s="17" t="n">
        <v>97</v>
      </c>
      <c r="B98" s="18" t="inlineStr">
        <is>
          <t>M08-03</t>
        </is>
      </c>
      <c r="C98" s="18" t="inlineStr">
        <is>
          <t>Mark invoice as sent</t>
        </is>
      </c>
      <c r="D98" s="18" t="inlineStr">
        <is>
          <t>M08-02 passed</t>
        </is>
      </c>
      <c r="E98" s="17" t="inlineStr"/>
      <c r="F98" s="18" t="inlineStr">
        <is>
          <t>200 OK, status=sent</t>
        </is>
      </c>
      <c r="G98" s="18" t="inlineStr"/>
      <c r="H98" s="17" t="inlineStr">
        <is>
          <t>SQA-Agent-04</t>
        </is>
      </c>
      <c r="I98" s="17" t="inlineStr"/>
    </row>
    <row r="99" ht="22" customHeight="1">
      <c r="A99" s="19" t="n">
        <v>98</v>
      </c>
      <c r="B99" s="20" t="inlineStr">
        <is>
          <t>M08-04</t>
        </is>
      </c>
      <c r="C99" s="20" t="inlineStr">
        <is>
          <t>Record payment against invoice</t>
        </is>
      </c>
      <c r="D99" s="20" t="inlineStr">
        <is>
          <t>M08-03 passed</t>
        </is>
      </c>
      <c r="E99" s="19" t="inlineStr"/>
      <c r="F99" s="20" t="inlineStr">
        <is>
          <t>201 Created, payment recorded</t>
        </is>
      </c>
      <c r="G99" s="20" t="inlineStr"/>
      <c r="H99" s="19" t="inlineStr">
        <is>
          <t>SQA-Agent-04</t>
        </is>
      </c>
      <c r="I99" s="19" t="inlineStr"/>
    </row>
    <row r="100" ht="22" customHeight="1">
      <c r="A100" s="17" t="n">
        <v>99</v>
      </c>
      <c r="B100" s="18" t="inlineStr">
        <is>
          <t>M08-05</t>
        </is>
      </c>
      <c r="C100" s="18" t="inlineStr">
        <is>
          <t>Sales dashboard accessible to manager</t>
        </is>
      </c>
      <c r="D100" s="18" t="inlineStr">
        <is>
          <t>Manager logged in</t>
        </is>
      </c>
      <c r="E100" s="17" t="inlineStr"/>
      <c r="F100" s="18" t="inlineStr">
        <is>
          <t>200 OK</t>
        </is>
      </c>
      <c r="G100" s="18" t="inlineStr"/>
      <c r="H100" s="17" t="inlineStr">
        <is>
          <t>SQA-Agent-04</t>
        </is>
      </c>
      <c r="I100" s="17" t="inlineStr"/>
    </row>
    <row r="101" ht="22" customHeight="1">
      <c r="A101" s="19" t="n">
        <v>100</v>
      </c>
      <c r="B101" s="20" t="inlineStr">
        <is>
          <t>M09-01</t>
        </is>
      </c>
      <c r="C101" s="20" t="inlineStr">
        <is>
          <t>Banking sector fields seeded (min 5)</t>
        </is>
      </c>
      <c r="D101" s="20" t="inlineStr">
        <is>
          <t>Alpha Bank created</t>
        </is>
      </c>
      <c r="E101" s="19" t="inlineStr"/>
      <c r="F101" s="20" t="inlineStr">
        <is>
          <t>min 5 fields in custom_field_definitions</t>
        </is>
      </c>
      <c r="G101" s="20" t="inlineStr"/>
      <c r="H101" s="19" t="inlineStr">
        <is>
          <t>SQA-Agent-04</t>
        </is>
      </c>
      <c r="I101" s="19" t="inlineStr"/>
    </row>
    <row r="102" ht="22" customHeight="1">
      <c r="A102" s="17" t="n">
        <v>101</v>
      </c>
      <c r="B102" s="18" t="inlineStr">
        <is>
          <t>M09-02</t>
        </is>
      </c>
      <c r="C102" s="18" t="inlineStr">
        <is>
          <t>account_number field exists</t>
        </is>
      </c>
      <c r="D102" s="18" t="inlineStr">
        <is>
          <t>M09-01 passed</t>
        </is>
      </c>
      <c r="E102" s="17" t="inlineStr"/>
      <c r="F102" s="18" t="inlineStr">
        <is>
          <t>field name=account_number present</t>
        </is>
      </c>
      <c r="G102" s="18" t="inlineStr"/>
      <c r="H102" s="17" t="inlineStr">
        <is>
          <t>SQA-Agent-04</t>
        </is>
      </c>
      <c r="I102" s="17" t="inlineStr"/>
    </row>
    <row r="103" ht="22" customHeight="1">
      <c r="A103" s="19" t="n">
        <v>102</v>
      </c>
      <c r="B103" s="20" t="inlineStr">
        <is>
          <t>M09-03</t>
        </is>
      </c>
      <c r="C103" s="20" t="inlineStr">
        <is>
          <t>Admin can add custom field</t>
        </is>
      </c>
      <c r="D103" s="20" t="inlineStr">
        <is>
          <t>Admin logged in</t>
        </is>
      </c>
      <c r="E103" s="19" t="inlineStr"/>
      <c r="F103" s="20" t="inlineStr">
        <is>
          <t>201 Created or 409 if exists</t>
        </is>
      </c>
      <c r="G103" s="20" t="inlineStr"/>
      <c r="H103" s="19" t="inlineStr">
        <is>
          <t>SQA-Agent-04</t>
        </is>
      </c>
      <c r="I103" s="19" t="inlineStr"/>
    </row>
    <row r="104" ht="22" customHeight="1">
      <c r="A104" s="17" t="n">
        <v>103</v>
      </c>
      <c r="B104" s="18" t="inlineStr">
        <is>
          <t>M10-01</t>
        </is>
      </c>
      <c r="C104" s="18" t="inlineStr">
        <is>
          <t>Agent can delete own contact</t>
        </is>
      </c>
      <c r="D104" s="18" t="inlineStr">
        <is>
          <t>Contact owned by agent</t>
        </is>
      </c>
      <c r="E104" s="17" t="inlineStr"/>
      <c r="F104" s="18" t="inlineStr">
        <is>
          <t>204 No Content</t>
        </is>
      </c>
      <c r="G104" s="18" t="inlineStr"/>
      <c r="H104" s="17" t="inlineStr">
        <is>
          <t>SQA-Agent-04</t>
        </is>
      </c>
      <c r="I104" s="17" t="inlineStr"/>
    </row>
    <row r="105" ht="22" customHeight="1">
      <c r="A105" s="19" t="n">
        <v>104</v>
      </c>
      <c r="B105" s="20" t="inlineStr">
        <is>
          <t>M10-02</t>
        </is>
      </c>
      <c r="C105" s="20" t="inlineStr">
        <is>
          <t>Deleted contact returns 404</t>
        </is>
      </c>
      <c r="D105" s="20" t="inlineStr">
        <is>
          <t>M10-01 passed</t>
        </is>
      </c>
      <c r="E105" s="19" t="inlineStr"/>
      <c r="F105" s="20" t="inlineStr">
        <is>
          <t>HTTP 404</t>
        </is>
      </c>
      <c r="G105" s="20" t="inlineStr"/>
      <c r="H105" s="19" t="inlineStr">
        <is>
          <t>SQA-Agent-04</t>
        </is>
      </c>
      <c r="I105" s="19" t="inlineStr"/>
    </row>
    <row r="106" ht="22" customHeight="1">
      <c r="A106" s="17" t="n">
        <v>105</v>
      </c>
      <c r="B106" s="18" t="inlineStr">
        <is>
          <t>SEC-01</t>
        </is>
      </c>
      <c r="C106" s="18" t="inlineStr">
        <is>
          <t>Brute force — 5 bad attempts triggers 429 lockout</t>
        </is>
      </c>
      <c r="D106" s="18" t="inlineStr">
        <is>
          <t>Valid user exists</t>
        </is>
      </c>
      <c r="E106" s="17" t="inlineStr"/>
      <c r="F106" s="18" t="inlineStr">
        <is>
          <t>HTTP 429 after 5 failures</t>
        </is>
      </c>
      <c r="G106" s="18" t="inlineStr"/>
      <c r="H106" s="17" t="inlineStr">
        <is>
          <t>SQA-Agent-05</t>
        </is>
      </c>
      <c r="I106" s="17" t="inlineStr"/>
    </row>
    <row r="107" ht="22" customHeight="1">
      <c r="A107" s="19" t="n">
        <v>106</v>
      </c>
      <c r="B107" s="20" t="inlineStr">
        <is>
          <t>SEC-02</t>
        </is>
      </c>
      <c r="C107" s="20" t="inlineStr">
        <is>
          <t>Tampered JWT (role escalation) rejected</t>
        </is>
      </c>
      <c r="D107" s="20" t="inlineStr">
        <is>
          <t>Valid JWT obtained</t>
        </is>
      </c>
      <c r="E107" s="19" t="inlineStr"/>
      <c r="F107" s="20" t="inlineStr">
        <is>
          <t>HTTP 401/403</t>
        </is>
      </c>
      <c r="G107" s="20" t="inlineStr"/>
      <c r="H107" s="19" t="inlineStr">
        <is>
          <t>SQA-Agent-05</t>
        </is>
      </c>
      <c r="I107" s="19" t="inlineStr"/>
    </row>
    <row r="108" ht="22" customHeight="1">
      <c r="A108" s="17" t="n">
        <v>107</v>
      </c>
      <c r="B108" s="18" t="inlineStr">
        <is>
          <t>SEC-03</t>
        </is>
      </c>
      <c r="C108" s="18" t="inlineStr">
        <is>
          <t>Expired JWT (manipulated exp) rejected</t>
        </is>
      </c>
      <c r="D108" s="18" t="inlineStr">
        <is>
          <t>Valid JWT obtained</t>
        </is>
      </c>
      <c r="E108" s="17" t="inlineStr"/>
      <c r="F108" s="18" t="inlineStr">
        <is>
          <t>HTTP 401/403</t>
        </is>
      </c>
      <c r="G108" s="18" t="inlineStr"/>
      <c r="H108" s="17" t="inlineStr">
        <is>
          <t>SQA-Agent-05</t>
        </is>
      </c>
      <c r="I108" s="17" t="inlineStr"/>
    </row>
    <row r="109" ht="22" customHeight="1">
      <c r="A109" s="19" t="n">
        <v>108</v>
      </c>
      <c r="B109" s="20" t="inlineStr">
        <is>
          <t>SEC-04a</t>
        </is>
      </c>
      <c r="C109" s="20" t="inlineStr">
        <is>
          <t>Unauthenticated /contacts returns 401</t>
        </is>
      </c>
      <c r="D109" s="20" t="inlineStr">
        <is>
          <t>No token</t>
        </is>
      </c>
      <c r="E109" s="19" t="inlineStr"/>
      <c r="F109" s="20" t="inlineStr">
        <is>
          <t>HTTP 401</t>
        </is>
      </c>
      <c r="G109" s="20" t="inlineStr"/>
      <c r="H109" s="19" t="inlineStr">
        <is>
          <t>SQA-Agent-05</t>
        </is>
      </c>
      <c r="I109" s="19" t="inlineStr"/>
    </row>
    <row r="110" ht="22" customHeight="1">
      <c r="A110" s="17" t="n">
        <v>109</v>
      </c>
      <c r="B110" s="18" t="inlineStr">
        <is>
          <t>SEC-04b</t>
        </is>
      </c>
      <c r="C110" s="18" t="inlineStr">
        <is>
          <t>Unauthenticated /tickets returns 401</t>
        </is>
      </c>
      <c r="D110" s="18" t="inlineStr">
        <is>
          <t>No token</t>
        </is>
      </c>
      <c r="E110" s="17" t="inlineStr"/>
      <c r="F110" s="18" t="inlineStr">
        <is>
          <t>HTTP 401</t>
        </is>
      </c>
      <c r="G110" s="18" t="inlineStr"/>
      <c r="H110" s="17" t="inlineStr">
        <is>
          <t>SQA-Agent-05</t>
        </is>
      </c>
      <c r="I110" s="17" t="inlineStr"/>
    </row>
    <row r="111" ht="22" customHeight="1">
      <c r="A111" s="19" t="n">
        <v>110</v>
      </c>
      <c r="B111" s="20" t="inlineStr">
        <is>
          <t>SEC-04c</t>
        </is>
      </c>
      <c r="C111" s="20" t="inlineStr">
        <is>
          <t>Unauthenticated /deals returns 401</t>
        </is>
      </c>
      <c r="D111" s="20" t="inlineStr">
        <is>
          <t>No token</t>
        </is>
      </c>
      <c r="E111" s="19" t="inlineStr"/>
      <c r="F111" s="20" t="inlineStr">
        <is>
          <t>HTTP 401</t>
        </is>
      </c>
      <c r="G111" s="20" t="inlineStr"/>
      <c r="H111" s="19" t="inlineStr">
        <is>
          <t>SQA-Agent-05</t>
        </is>
      </c>
      <c r="I111" s="19" t="inlineStr"/>
    </row>
    <row r="112" ht="22" customHeight="1">
      <c r="A112" s="17" t="n">
        <v>111</v>
      </c>
      <c r="B112" s="18" t="inlineStr">
        <is>
          <t>SEC-04d</t>
        </is>
      </c>
      <c r="C112" s="18" t="inlineStr">
        <is>
          <t>Unauthenticated /settings returns 401</t>
        </is>
      </c>
      <c r="D112" s="18" t="inlineStr">
        <is>
          <t>No token</t>
        </is>
      </c>
      <c r="E112" s="17" t="inlineStr"/>
      <c r="F112" s="18" t="inlineStr">
        <is>
          <t>HTTP 401</t>
        </is>
      </c>
      <c r="G112" s="18" t="inlineStr"/>
      <c r="H112" s="17" t="inlineStr">
        <is>
          <t>SQA-Agent-05</t>
        </is>
      </c>
      <c r="I112" s="17" t="inlineStr"/>
    </row>
    <row r="113" ht="22" customHeight="1">
      <c r="A113" s="19" t="n">
        <v>112</v>
      </c>
      <c r="B113" s="20" t="inlineStr">
        <is>
          <t>SEC-05</t>
        </is>
      </c>
      <c r="C113" s="20" t="inlineStr">
        <is>
          <t>Token invalid after logout (blocklist)</t>
        </is>
      </c>
      <c r="D113" s="20" t="inlineStr">
        <is>
          <t>Valid JWT, logout called</t>
        </is>
      </c>
      <c r="E113" s="19" t="inlineStr"/>
      <c r="F113" s="20" t="inlineStr">
        <is>
          <t>HTTP 401 on reuse</t>
        </is>
      </c>
      <c r="G113" s="20" t="inlineStr"/>
      <c r="H113" s="19" t="inlineStr">
        <is>
          <t>SQA-Agent-05</t>
        </is>
      </c>
      <c r="I113" s="19" t="inlineStr"/>
    </row>
    <row r="114" ht="22" customHeight="1">
      <c r="A114" s="17" t="n">
        <v>113</v>
      </c>
      <c r="B114" s="18" t="inlineStr">
        <is>
          <t>SEC-06</t>
        </is>
      </c>
      <c r="C114" s="18" t="inlineStr">
        <is>
          <t>Request without tenant context rejected</t>
        </is>
      </c>
      <c r="D114" s="18" t="inlineStr">
        <is>
          <t>Valid JWT</t>
        </is>
      </c>
      <c r="E114" s="17" t="inlineStr"/>
      <c r="F114" s="18" t="inlineStr">
        <is>
          <t>HTTP 400+</t>
        </is>
      </c>
      <c r="G114" s="18" t="inlineStr"/>
      <c r="H114" s="17" t="inlineStr">
        <is>
          <t>SQA-Agent-05</t>
        </is>
      </c>
      <c r="I114" s="17" t="inlineStr"/>
    </row>
    <row r="115" ht="22" customHeight="1">
      <c r="A115" s="19" t="n">
        <v>114</v>
      </c>
      <c r="B115" s="20" t="inlineStr">
        <is>
          <t>SEC-07</t>
        </is>
      </c>
      <c r="C115" s="20" t="inlineStr">
        <is>
          <t>SQL injection in search param handled safely</t>
        </is>
      </c>
      <c r="D115" s="20" t="inlineStr">
        <is>
          <t>Agent logged in</t>
        </is>
      </c>
      <c r="E115" s="19" t="inlineStr"/>
      <c r="F115" s="20" t="inlineStr">
        <is>
          <t>HTTP 200 or 400, no 500</t>
        </is>
      </c>
      <c r="G115" s="20" t="inlineStr"/>
      <c r="H115" s="19" t="inlineStr">
        <is>
          <t>SQA-Agent-05</t>
        </is>
      </c>
      <c r="I115" s="19" t="inlineStr"/>
    </row>
    <row r="116" ht="22" customHeight="1">
      <c r="A116" s="17" t="n">
        <v>115</v>
      </c>
      <c r="B116" s="18" t="inlineStr">
        <is>
          <t>SEC-08</t>
        </is>
      </c>
      <c r="C116" s="18" t="inlineStr">
        <is>
          <t>XSS payload in contact name handled (no 500)</t>
        </is>
      </c>
      <c r="D116" s="18" t="inlineStr">
        <is>
          <t>Agent logged in</t>
        </is>
      </c>
      <c r="E116" s="17" t="inlineStr"/>
      <c r="F116" s="18" t="inlineStr">
        <is>
          <t>HTTP 200 or 400, no 500</t>
        </is>
      </c>
      <c r="G116" s="18" t="inlineStr"/>
      <c r="H116" s="17" t="inlineStr">
        <is>
          <t>SQA-Agent-05</t>
        </is>
      </c>
      <c r="I116" s="17" t="inlineStr"/>
    </row>
    <row r="117" ht="22" customHeight="1">
      <c r="A117" s="19" t="n">
        <v>116</v>
      </c>
      <c r="B117" s="20" t="inlineStr">
        <is>
          <t>SEC-09</t>
        </is>
      </c>
      <c r="C117" s="20" t="inlineStr">
        <is>
          <t>Extreme integer value handled (no 500)</t>
        </is>
      </c>
      <c r="D117" s="20" t="inlineStr">
        <is>
          <t>Agent logged in</t>
        </is>
      </c>
      <c r="E117" s="19" t="inlineStr"/>
      <c r="F117" s="20" t="inlineStr">
        <is>
          <t>HTTP 200 or 400, no 500</t>
        </is>
      </c>
      <c r="G117" s="20" t="inlineStr"/>
      <c r="H117" s="19" t="inlineStr">
        <is>
          <t>SQA-Agent-05</t>
        </is>
      </c>
      <c r="I117" s="19" t="inlineStr"/>
    </row>
    <row r="118" ht="22" customHeight="1">
      <c r="A118" s="17" t="n">
        <v>117</v>
      </c>
      <c r="B118" s="18" t="inlineStr">
        <is>
          <t>SEC-10</t>
        </is>
      </c>
      <c r="C118" s="18" t="inlineStr">
        <is>
          <t>Empty required fields rejected (400/422)</t>
        </is>
      </c>
      <c r="D118" s="18" t="inlineStr">
        <is>
          <t>Agent logged in</t>
        </is>
      </c>
      <c r="E118" s="17" t="inlineStr"/>
      <c r="F118" s="18" t="inlineStr">
        <is>
          <t>HTTP 400 or 422</t>
        </is>
      </c>
      <c r="G118" s="18" t="inlineStr"/>
      <c r="H118" s="17" t="inlineStr">
        <is>
          <t>SQA-Agent-05</t>
        </is>
      </c>
      <c r="I118" s="17" t="inlineStr"/>
    </row>
    <row r="119" ht="22" customHeight="1">
      <c r="A119" s="19" t="n">
        <v>118</v>
      </c>
      <c r="B119" s="20" t="inlineStr">
        <is>
          <t>SEC-11</t>
        </is>
      </c>
      <c r="C119" s="20" t="inlineStr">
        <is>
          <t>Agent cannot elevate own role (privilege escalation)</t>
        </is>
      </c>
      <c r="D119" s="20" t="inlineStr">
        <is>
          <t>Agent logged in</t>
        </is>
      </c>
      <c r="E119" s="19" t="inlineStr"/>
      <c r="F119" s="20" t="inlineStr">
        <is>
          <t>HTTP 403</t>
        </is>
      </c>
      <c r="G119" s="20" t="inlineStr"/>
      <c r="H119" s="19" t="inlineStr">
        <is>
          <t>SQA-Agent-05</t>
        </is>
      </c>
      <c r="I119" s="19" t="inlineStr"/>
    </row>
    <row r="120" ht="22" customHeight="1">
      <c r="A120" s="17" t="n">
        <v>119</v>
      </c>
      <c r="B120" s="18" t="inlineStr">
        <is>
          <t>SEC-12</t>
        </is>
      </c>
      <c r="C120" s="18" t="inlineStr">
        <is>
          <t>Random UUID returns 404 (no info leakage)</t>
        </is>
      </c>
      <c r="D120" s="18" t="inlineStr">
        <is>
          <t>Agent logged in</t>
        </is>
      </c>
      <c r="E120" s="17" t="inlineStr"/>
      <c r="F120" s="18" t="inlineStr">
        <is>
          <t>HTTP 404</t>
        </is>
      </c>
      <c r="G120" s="18" t="inlineStr"/>
      <c r="H120" s="17" t="inlineStr">
        <is>
          <t>SQA-Agent-05</t>
        </is>
      </c>
      <c r="I120" s="17" t="inlineStr"/>
    </row>
    <row r="121" ht="22" customHeight="1">
      <c r="A121" s="19" t="n">
        <v>120</v>
      </c>
      <c r="B121" s="20" t="inlineStr">
        <is>
          <t>SEC-13</t>
        </is>
      </c>
      <c r="C121" s="20" t="inlineStr">
        <is>
          <t>Alpha agent cannot delete Beta contact (IDOR)</t>
        </is>
      </c>
      <c r="D121" s="20" t="inlineStr">
        <is>
          <t>Both banks created</t>
        </is>
      </c>
      <c r="E121" s="19" t="inlineStr"/>
      <c r="F121" s="20" t="inlineStr">
        <is>
          <t>HTTP 403 or 404</t>
        </is>
      </c>
      <c r="G121" s="20" t="inlineStr"/>
      <c r="H121" s="19" t="inlineStr">
        <is>
          <t>SQA-Agent-05</t>
        </is>
      </c>
      <c r="I121" s="19" t="inlineStr"/>
    </row>
    <row r="122" ht="22" customHeight="1">
      <c r="A122" s="17" t="n">
        <v>121</v>
      </c>
      <c r="B122" s="18" t="inlineStr">
        <is>
          <t>SEC-14</t>
        </is>
      </c>
      <c r="C122" s="18" t="inlineStr">
        <is>
          <t>Oversized payload rejected (no 500)</t>
        </is>
      </c>
      <c r="D122" s="18" t="inlineStr">
        <is>
          <t>Agent logged in</t>
        </is>
      </c>
      <c r="E122" s="17" t="inlineStr"/>
      <c r="F122" s="18" t="inlineStr">
        <is>
          <t>HTTP 400/413, no 500</t>
        </is>
      </c>
      <c r="G122" s="18" t="inlineStr"/>
      <c r="H122" s="17" t="inlineStr">
        <is>
          <t>SQA-Agent-05</t>
        </is>
      </c>
      <c r="I122" s="17" t="inlineStr"/>
    </row>
    <row r="123" ht="22" customHeight="1">
      <c r="A123" s="19" t="n">
        <v>122</v>
      </c>
      <c r="B123" s="20" t="inlineStr">
        <is>
          <t>SEC-19</t>
        </is>
      </c>
      <c r="C123" s="20" t="inlineStr">
        <is>
          <t>Password &lt; 10 chars rejected</t>
        </is>
      </c>
      <c r="D123" s="20" t="inlineStr">
        <is>
          <t>API running</t>
        </is>
      </c>
      <c r="E123" s="19" t="inlineStr"/>
      <c r="F123" s="20" t="inlineStr">
        <is>
          <t>HTTP 400</t>
        </is>
      </c>
      <c r="G123" s="20" t="inlineStr"/>
      <c r="H123" s="19" t="inlineStr">
        <is>
          <t>SQA-Agent-05</t>
        </is>
      </c>
      <c r="I123" s="19" t="inlineStr"/>
    </row>
    <row r="124" ht="22" customHeight="1">
      <c r="A124" s="17" t="n">
        <v>123</v>
      </c>
      <c r="B124" s="18" t="inlineStr">
        <is>
          <t>SEC-20</t>
        </is>
      </c>
      <c r="C124" s="18" t="inlineStr">
        <is>
          <t>Password without uppercase rejected</t>
        </is>
      </c>
      <c r="D124" s="18" t="inlineStr">
        <is>
          <t>API running</t>
        </is>
      </c>
      <c r="E124" s="17" t="inlineStr"/>
      <c r="F124" s="18" t="inlineStr">
        <is>
          <t>HTTP 400</t>
        </is>
      </c>
      <c r="G124" s="18" t="inlineStr"/>
      <c r="H124" s="17" t="inlineStr">
        <is>
          <t>SQA-Agent-05</t>
        </is>
      </c>
      <c r="I124" s="17" t="inlineStr"/>
    </row>
    <row r="125" ht="22" customHeight="1">
      <c r="A125" s="19" t="n">
        <v>124</v>
      </c>
      <c r="B125" s="20" t="inlineStr">
        <is>
          <t>SEC-21</t>
        </is>
      </c>
      <c r="C125" s="20" t="inlineStr">
        <is>
          <t>Password without lowercase rejected</t>
        </is>
      </c>
      <c r="D125" s="20" t="inlineStr">
        <is>
          <t>API running</t>
        </is>
      </c>
      <c r="E125" s="19" t="inlineStr"/>
      <c r="F125" s="20" t="inlineStr">
        <is>
          <t>HTTP 400</t>
        </is>
      </c>
      <c r="G125" s="20" t="inlineStr"/>
      <c r="H125" s="19" t="inlineStr">
        <is>
          <t>SQA-Agent-05</t>
        </is>
      </c>
      <c r="I125" s="19" t="inlineStr"/>
    </row>
    <row r="126" ht="22" customHeight="1">
      <c r="A126" s="17" t="n">
        <v>125</v>
      </c>
      <c r="B126" s="18" t="inlineStr">
        <is>
          <t>SEC-22</t>
        </is>
      </c>
      <c r="C126" s="18" t="inlineStr">
        <is>
          <t>Password without special char rejected</t>
        </is>
      </c>
      <c r="D126" s="18" t="inlineStr">
        <is>
          <t>API running</t>
        </is>
      </c>
      <c r="E126" s="17" t="inlineStr"/>
      <c r="F126" s="18" t="inlineStr">
        <is>
          <t>HTTP 400</t>
        </is>
      </c>
      <c r="G126" s="18" t="inlineStr"/>
      <c r="H126" s="17" t="inlineStr">
        <is>
          <t>SQA-Agent-05</t>
        </is>
      </c>
      <c r="I126" s="17" t="inlineStr"/>
    </row>
    <row r="127" ht="22" customHeight="1">
      <c r="A127" s="19" t="n">
        <v>126</v>
      </c>
      <c r="B127" s="20" t="inlineStr">
        <is>
          <t>UX-01</t>
        </is>
      </c>
      <c r="C127" s="20" t="inlineStr">
        <is>
          <t>Dashboard data returns within 2000ms</t>
        </is>
      </c>
      <c r="D127" s="20" t="inlineStr">
        <is>
          <t>API running</t>
        </is>
      </c>
      <c r="E127" s="19" t="inlineStr"/>
      <c r="F127" s="20" t="inlineStr">
        <is>
          <t>Response time &lt; 2000ms</t>
        </is>
      </c>
      <c r="G127" s="20" t="inlineStr"/>
      <c r="H127" s="19" t="inlineStr">
        <is>
          <t>SQA-Agent-05</t>
        </is>
      </c>
      <c r="I127" s="19" t="inlineStr"/>
    </row>
    <row r="128" ht="22" customHeight="1">
      <c r="A128" s="17" t="n">
        <v>127</v>
      </c>
      <c r="B128" s="18" t="inlineStr">
        <is>
          <t>UX-02</t>
        </is>
      </c>
      <c r="C128" s="18" t="inlineStr">
        <is>
          <t>Contact list returns paginated structure</t>
        </is>
      </c>
      <c r="D128" s="18" t="inlineStr">
        <is>
          <t>Agent logged in</t>
        </is>
      </c>
      <c r="E128" s="17" t="inlineStr"/>
      <c r="F128" s="18" t="inlineStr">
        <is>
          <t>Pagination meta present in response</t>
        </is>
      </c>
      <c r="G128" s="18" t="inlineStr"/>
      <c r="H128" s="17" t="inlineStr">
        <is>
          <t>SQA-Agent-05</t>
        </is>
      </c>
      <c r="I128" s="17" t="inlineStr"/>
    </row>
    <row r="129" ht="22" customHeight="1">
      <c r="A129" s="19" t="n">
        <v>128</v>
      </c>
      <c r="B129" s="20" t="inlineStr">
        <is>
          <t>UX-03</t>
        </is>
      </c>
      <c r="C129" s="20" t="inlineStr">
        <is>
          <t>Contact search returns 200 (even 0 results)</t>
        </is>
      </c>
      <c r="D129" s="20" t="inlineStr">
        <is>
          <t>Agent logged in</t>
        </is>
      </c>
      <c r="E129" s="19" t="inlineStr"/>
      <c r="F129" s="20" t="inlineStr">
        <is>
          <t>HTTP 200</t>
        </is>
      </c>
      <c r="G129" s="20" t="inlineStr"/>
      <c r="H129" s="19" t="inlineStr">
        <is>
          <t>SQA-Agent-05</t>
        </is>
      </c>
      <c r="I129" s="19" t="inlineStr"/>
    </row>
    <row r="130" ht="22" customHeight="1">
      <c r="A130" s="17" t="n">
        <v>129</v>
      </c>
      <c r="B130" s="18" t="inlineStr">
        <is>
          <t>UX-04</t>
        </is>
      </c>
      <c r="C130" s="18" t="inlineStr">
        <is>
          <t>Error responses follow consistent format</t>
        </is>
      </c>
      <c r="D130" s="18" t="inlineStr">
        <is>
          <t>Invalid request made</t>
        </is>
      </c>
      <c r="E130" s="17" t="inlineStr"/>
      <c r="F130" s="18" t="inlineStr">
        <is>
          <t>{success:false, error:{code,message}}</t>
        </is>
      </c>
      <c r="G130" s="18" t="inlineStr"/>
      <c r="H130" s="17" t="inlineStr">
        <is>
          <t>SQA-Agent-05</t>
        </is>
      </c>
      <c r="I130" s="17" t="inlineStr"/>
    </row>
    <row r="131" ht="22" customHeight="1">
      <c r="A131" s="19" t="n">
        <v>130</v>
      </c>
      <c r="B131" s="20" t="inlineStr">
        <is>
          <t>UX-05</t>
        </is>
      </c>
      <c r="C131" s="20" t="inlineStr">
        <is>
          <t>Errors do not expose stack traces</t>
        </is>
      </c>
      <c r="D131" s="20" t="inlineStr">
        <is>
          <t>Invalid request made</t>
        </is>
      </c>
      <c r="E131" s="19" t="inlineStr"/>
      <c r="F131" s="20" t="inlineStr">
        <is>
          <t>No 'at Object' in response</t>
        </is>
      </c>
      <c r="G131" s="20" t="inlineStr"/>
      <c r="H131" s="19" t="inlineStr">
        <is>
          <t>SQA-Agent-05</t>
        </is>
      </c>
      <c r="I131" s="19" t="inlineStr"/>
    </row>
    <row r="132" ht="22" customHeight="1">
      <c r="A132" s="17" t="n">
        <v>131</v>
      </c>
      <c r="B132" s="18" t="inlineStr">
        <is>
          <t>UX-06</t>
        </is>
      </c>
      <c r="C132" s="18" t="inlineStr">
        <is>
          <t>Swagger/OpenAPI docs accessible at /docs</t>
        </is>
      </c>
      <c r="D132" s="18" t="inlineStr">
        <is>
          <t>API running</t>
        </is>
      </c>
      <c r="E132" s="17" t="inlineStr"/>
      <c r="F132" s="18" t="inlineStr">
        <is>
          <t>HTTP 200 or 301</t>
        </is>
      </c>
      <c r="G132" s="18" t="inlineStr"/>
      <c r="H132" s="17" t="inlineStr">
        <is>
          <t>SQA-Agent-05</t>
        </is>
      </c>
      <c r="I132" s="17" t="inlineStr"/>
    </row>
    <row r="133" ht="22" customHeight="1">
      <c r="A133" s="19" t="n">
        <v>132</v>
      </c>
      <c r="B133" s="20" t="inlineStr">
        <is>
          <t>UX-07</t>
        </is>
      </c>
      <c r="C133" s="20" t="inlineStr">
        <is>
          <t>Health check endpoint responds</t>
        </is>
      </c>
      <c r="D133" s="20" t="inlineStr">
        <is>
          <t>API running</t>
        </is>
      </c>
      <c r="E133" s="19" t="inlineStr"/>
      <c r="F133" s="20" t="inlineStr">
        <is>
          <t>HTTP 200</t>
        </is>
      </c>
      <c r="G133" s="20" t="inlineStr"/>
      <c r="H133" s="19" t="inlineStr">
        <is>
          <t>SQA-Agent-05</t>
        </is>
      </c>
      <c r="I133" s="19" t="inlineStr"/>
    </row>
    <row r="134" ht="22" customHeight="1">
      <c r="A134" s="17" t="n">
        <v>133</v>
      </c>
      <c r="B134" s="18" t="inlineStr">
        <is>
          <t>UX-08</t>
        </is>
      </c>
      <c r="C134" s="18" t="inlineStr">
        <is>
          <t>Non-existent route returns 404 (not 500)</t>
        </is>
      </c>
      <c r="D134" s="18" t="inlineStr">
        <is>
          <t>API running</t>
        </is>
      </c>
      <c r="E134" s="17" t="inlineStr"/>
      <c r="F134" s="18" t="inlineStr">
        <is>
          <t>HTTP 404</t>
        </is>
      </c>
      <c r="G134" s="18" t="inlineStr"/>
      <c r="H134" s="17" t="inlineStr">
        <is>
          <t>SQA-Agent-05</t>
        </is>
      </c>
      <c r="I134" s="17" t="inlineStr"/>
    </row>
    <row r="135" ht="22" customHeight="1">
      <c r="A135" s="19" t="n">
        <v>134</v>
      </c>
      <c r="B135" s="20" t="inlineStr">
        <is>
          <t>UX-09</t>
        </is>
      </c>
      <c r="C135" s="20" t="inlineStr">
        <is>
          <t>Contact create returns full object (not just ID)</t>
        </is>
      </c>
      <c r="D135" s="20" t="inlineStr">
        <is>
          <t>Agent logged in</t>
        </is>
      </c>
      <c r="E135" s="19" t="inlineStr"/>
      <c r="F135" s="20" t="inlineStr">
        <is>
          <t>Response has 5+ fields</t>
        </is>
      </c>
      <c r="G135" s="20" t="inlineStr"/>
      <c r="H135" s="19" t="inlineStr">
        <is>
          <t>SQA-Agent-05</t>
        </is>
      </c>
      <c r="I135" s="19" t="inlineStr"/>
    </row>
    <row r="136" ht="22" customHeight="1">
      <c r="A136" s="17" t="n">
        <v>135</v>
      </c>
      <c r="B136" s="18" t="inlineStr">
        <is>
          <t>UX-10</t>
        </is>
      </c>
      <c r="C136" s="18" t="inlineStr">
        <is>
          <t>CORS headers present (OPTIONS responds)</t>
        </is>
      </c>
      <c r="D136" s="18" t="inlineStr">
        <is>
          <t>API running</t>
        </is>
      </c>
      <c r="E136" s="17" t="inlineStr"/>
      <c r="F136" s="18" t="inlineStr">
        <is>
          <t>No 500 on OPTIONS</t>
        </is>
      </c>
      <c r="G136" s="18" t="inlineStr"/>
      <c r="H136" s="17" t="inlineStr">
        <is>
          <t>SQA-Agent-05</t>
        </is>
      </c>
      <c r="I136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4" customWidth="1" min="4" max="4"/>
    <col width="14" customWidth="1" min="5" max="5"/>
    <col width="25" customWidth="1" min="6" max="6"/>
    <col width="14" customWidth="1" min="7" max="7"/>
    <col width="14" customWidth="1" min="8" max="8"/>
    <col width="20" customWidth="1" min="9" max="9"/>
    <col width="20" customWidth="1" min="10" max="10"/>
  </cols>
  <sheetData>
    <row r="1" ht="30" customHeight="1">
      <c r="A1" s="16" t="inlineStr">
        <is>
          <t>Defect #</t>
        </is>
      </c>
      <c r="B1" s="16" t="inlineStr">
        <is>
          <t>TC ID</t>
        </is>
      </c>
      <c r="C1" s="16" t="inlineStr">
        <is>
          <t>Defect Description</t>
        </is>
      </c>
      <c r="D1" s="16" t="inlineStr">
        <is>
          <t>Severity</t>
        </is>
      </c>
      <c r="E1" s="16" t="inlineStr">
        <is>
          <t>Priority</t>
        </is>
      </c>
      <c r="F1" s="16" t="inlineStr">
        <is>
          <t>Steps to Reproduce</t>
        </is>
      </c>
      <c r="G1" s="16" t="inlineStr">
        <is>
          <t>Status</t>
        </is>
      </c>
      <c r="H1" s="16" t="inlineStr">
        <is>
          <t>Assigned To</t>
        </is>
      </c>
      <c r="I1" s="16" t="inlineStr">
        <is>
          <t>Date Found</t>
        </is>
      </c>
      <c r="J1" s="16" t="inlineStr">
        <is>
          <t>Date Fixed</t>
        </is>
      </c>
    </row>
    <row r="2" ht="22" customHeight="1">
      <c r="A2" s="17" t="n"/>
      <c r="B2" s="18" t="n"/>
      <c r="C2" s="18" t="n"/>
      <c r="D2" s="17" t="n"/>
      <c r="E2" s="17" t="n"/>
      <c r="F2" s="18" t="n"/>
      <c r="G2" s="17" t="n"/>
      <c r="H2" s="17" t="n"/>
      <c r="I2" s="17" t="n"/>
      <c r="J2" s="17" t="n"/>
    </row>
    <row r="3" ht="22" customHeight="1">
      <c r="A3" s="19" t="n"/>
      <c r="B3" s="20" t="n"/>
      <c r="C3" s="20" t="n"/>
      <c r="D3" s="19" t="n"/>
      <c r="E3" s="19" t="n"/>
      <c r="F3" s="20" t="n"/>
      <c r="G3" s="19" t="n"/>
      <c r="H3" s="19" t="n"/>
      <c r="I3" s="19" t="n"/>
      <c r="J3" s="19" t="n"/>
    </row>
    <row r="4" ht="22" customHeight="1">
      <c r="A4" s="17" t="n"/>
      <c r="B4" s="18" t="n"/>
      <c r="C4" s="18" t="n"/>
      <c r="D4" s="17" t="n"/>
      <c r="E4" s="17" t="n"/>
      <c r="F4" s="18" t="n"/>
      <c r="G4" s="17" t="n"/>
      <c r="H4" s="17" t="n"/>
      <c r="I4" s="17" t="n"/>
      <c r="J4" s="17" t="n"/>
    </row>
    <row r="5" ht="22" customHeight="1">
      <c r="A5" s="19" t="n"/>
      <c r="B5" s="20" t="n"/>
      <c r="C5" s="20" t="n"/>
      <c r="D5" s="19" t="n"/>
      <c r="E5" s="19" t="n"/>
      <c r="F5" s="20" t="n"/>
      <c r="G5" s="19" t="n"/>
      <c r="H5" s="19" t="n"/>
      <c r="I5" s="19" t="n"/>
      <c r="J5" s="19" t="n"/>
    </row>
    <row r="6" ht="22" customHeight="1">
      <c r="A6" s="17" t="n"/>
      <c r="B6" s="18" t="n"/>
      <c r="C6" s="18" t="n"/>
      <c r="D6" s="17" t="n"/>
      <c r="E6" s="17" t="n"/>
      <c r="F6" s="18" t="n"/>
      <c r="G6" s="17" t="n"/>
      <c r="H6" s="17" t="n"/>
      <c r="I6" s="17" t="n"/>
      <c r="J6" s="17" t="n"/>
    </row>
    <row r="7" ht="22" customHeight="1">
      <c r="A7" s="19" t="n"/>
      <c r="B7" s="20" t="n"/>
      <c r="C7" s="20" t="n"/>
      <c r="D7" s="19" t="n"/>
      <c r="E7" s="19" t="n"/>
      <c r="F7" s="20" t="n"/>
      <c r="G7" s="19" t="n"/>
      <c r="H7" s="19" t="n"/>
      <c r="I7" s="19" t="n"/>
      <c r="J7" s="19" t="n"/>
    </row>
    <row r="8" ht="22" customHeight="1">
      <c r="A8" s="17" t="n"/>
      <c r="B8" s="18" t="n"/>
      <c r="C8" s="18" t="n"/>
      <c r="D8" s="17" t="n"/>
      <c r="E8" s="17" t="n"/>
      <c r="F8" s="18" t="n"/>
      <c r="G8" s="17" t="n"/>
      <c r="H8" s="17" t="n"/>
      <c r="I8" s="17" t="n"/>
      <c r="J8" s="17" t="n"/>
    </row>
    <row r="9" ht="22" customHeight="1">
      <c r="A9" s="19" t="n"/>
      <c r="B9" s="20" t="n"/>
      <c r="C9" s="20" t="n"/>
      <c r="D9" s="19" t="n"/>
      <c r="E9" s="19" t="n"/>
      <c r="F9" s="20" t="n"/>
      <c r="G9" s="19" t="n"/>
      <c r="H9" s="19" t="n"/>
      <c r="I9" s="19" t="n"/>
      <c r="J9" s="19" t="n"/>
    </row>
    <row r="10" ht="22" customHeight="1">
      <c r="A10" s="17" t="n"/>
      <c r="B10" s="18" t="n"/>
      <c r="C10" s="18" t="n"/>
      <c r="D10" s="17" t="n"/>
      <c r="E10" s="17" t="n"/>
      <c r="F10" s="18" t="n"/>
      <c r="G10" s="17" t="n"/>
      <c r="H10" s="17" t="n"/>
      <c r="I10" s="17" t="n"/>
      <c r="J10" s="17" t="n"/>
    </row>
    <row r="11" ht="22" customHeight="1">
      <c r="A11" s="19" t="n"/>
      <c r="B11" s="20" t="n"/>
      <c r="C11" s="20" t="n"/>
      <c r="D11" s="19" t="n"/>
      <c r="E11" s="19" t="n"/>
      <c r="F11" s="20" t="n"/>
      <c r="G11" s="19" t="n"/>
      <c r="H11" s="19" t="n"/>
      <c r="I11" s="19" t="n"/>
      <c r="J11" s="19" t="n"/>
    </row>
    <row r="12" ht="22" customHeight="1">
      <c r="A12" s="17" t="n"/>
      <c r="B12" s="18" t="n"/>
      <c r="C12" s="18" t="n"/>
      <c r="D12" s="17" t="n"/>
      <c r="E12" s="17" t="n"/>
      <c r="F12" s="18" t="n"/>
      <c r="G12" s="17" t="n"/>
      <c r="H12" s="17" t="n"/>
      <c r="I12" s="17" t="n"/>
      <c r="J12" s="17" t="n"/>
    </row>
    <row r="13" ht="22" customHeight="1">
      <c r="A13" s="19" t="n"/>
      <c r="B13" s="20" t="n"/>
      <c r="C13" s="20" t="n"/>
      <c r="D13" s="19" t="n"/>
      <c r="E13" s="19" t="n"/>
      <c r="F13" s="20" t="n"/>
      <c r="G13" s="19" t="n"/>
      <c r="H13" s="19" t="n"/>
      <c r="I13" s="19" t="n"/>
      <c r="J13" s="19" t="n"/>
    </row>
    <row r="14" ht="22" customHeight="1">
      <c r="A14" s="17" t="n"/>
      <c r="B14" s="18" t="n"/>
      <c r="C14" s="18" t="n"/>
      <c r="D14" s="17" t="n"/>
      <c r="E14" s="17" t="n"/>
      <c r="F14" s="18" t="n"/>
      <c r="G14" s="17" t="n"/>
      <c r="H14" s="17" t="n"/>
      <c r="I14" s="17" t="n"/>
      <c r="J14" s="17" t="n"/>
    </row>
    <row r="15" ht="22" customHeight="1">
      <c r="A15" s="19" t="n"/>
      <c r="B15" s="20" t="n"/>
      <c r="C15" s="20" t="n"/>
      <c r="D15" s="19" t="n"/>
      <c r="E15" s="19" t="n"/>
      <c r="F15" s="20" t="n"/>
      <c r="G15" s="19" t="n"/>
      <c r="H15" s="19" t="n"/>
      <c r="I15" s="19" t="n"/>
      <c r="J15" s="19" t="n"/>
    </row>
    <row r="16" ht="22" customHeight="1">
      <c r="A16" s="17" t="n"/>
      <c r="B16" s="18" t="n"/>
      <c r="C16" s="18" t="n"/>
      <c r="D16" s="17" t="n"/>
      <c r="E16" s="17" t="n"/>
      <c r="F16" s="18" t="n"/>
      <c r="G16" s="17" t="n"/>
      <c r="H16" s="17" t="n"/>
      <c r="I16" s="17" t="n"/>
      <c r="J16" s="17" t="n"/>
    </row>
    <row r="17" ht="22" customHeight="1">
      <c r="A17" s="19" t="n"/>
      <c r="B17" s="20" t="n"/>
      <c r="C17" s="20" t="n"/>
      <c r="D17" s="19" t="n"/>
      <c r="E17" s="19" t="n"/>
      <c r="F17" s="20" t="n"/>
      <c r="G17" s="19" t="n"/>
      <c r="H17" s="19" t="n"/>
      <c r="I17" s="19" t="n"/>
      <c r="J17" s="19" t="n"/>
    </row>
    <row r="18" ht="22" customHeight="1">
      <c r="A18" s="17" t="n"/>
      <c r="B18" s="18" t="n"/>
      <c r="C18" s="18" t="n"/>
      <c r="D18" s="17" t="n"/>
      <c r="E18" s="17" t="n"/>
      <c r="F18" s="18" t="n"/>
      <c r="G18" s="17" t="n"/>
      <c r="H18" s="17" t="n"/>
      <c r="I18" s="17" t="n"/>
      <c r="J18" s="17" t="n"/>
    </row>
    <row r="19" ht="22" customHeight="1">
      <c r="A19" s="19" t="n"/>
      <c r="B19" s="20" t="n"/>
      <c r="C19" s="20" t="n"/>
      <c r="D19" s="19" t="n"/>
      <c r="E19" s="19" t="n"/>
      <c r="F19" s="20" t="n"/>
      <c r="G19" s="19" t="n"/>
      <c r="H19" s="19" t="n"/>
      <c r="I19" s="19" t="n"/>
      <c r="J19" s="19" t="n"/>
    </row>
    <row r="20" ht="22" customHeight="1">
      <c r="A20" s="17" t="n"/>
      <c r="B20" s="18" t="n"/>
      <c r="C20" s="18" t="n"/>
      <c r="D20" s="17" t="n"/>
      <c r="E20" s="17" t="n"/>
      <c r="F20" s="18" t="n"/>
      <c r="G20" s="17" t="n"/>
      <c r="H20" s="17" t="n"/>
      <c r="I20" s="17" t="n"/>
      <c r="J20" s="17" t="n"/>
    </row>
    <row r="21" ht="22" customHeight="1">
      <c r="A21" s="19" t="n"/>
      <c r="B21" s="20" t="n"/>
      <c r="C21" s="20" t="n"/>
      <c r="D21" s="19" t="n"/>
      <c r="E21" s="19" t="n"/>
      <c r="F21" s="20" t="n"/>
      <c r="G21" s="19" t="n"/>
      <c r="H21" s="19" t="n"/>
      <c r="I21" s="19" t="n"/>
      <c r="J21" s="19" t="n"/>
    </row>
    <row r="22" ht="22" customHeight="1">
      <c r="A22" s="17" t="n"/>
      <c r="B22" s="18" t="n"/>
      <c r="C22" s="18" t="n"/>
      <c r="D22" s="17" t="n"/>
      <c r="E22" s="17" t="n"/>
      <c r="F22" s="18" t="n"/>
      <c r="G22" s="17" t="n"/>
      <c r="H22" s="17" t="n"/>
      <c r="I22" s="17" t="n"/>
      <c r="J22" s="17" t="n"/>
    </row>
    <row r="23" ht="22" customHeight="1">
      <c r="A23" s="19" t="n"/>
      <c r="B23" s="20" t="n"/>
      <c r="C23" s="20" t="n"/>
      <c r="D23" s="19" t="n"/>
      <c r="E23" s="19" t="n"/>
      <c r="F23" s="20" t="n"/>
      <c r="G23" s="19" t="n"/>
      <c r="H23" s="19" t="n"/>
      <c r="I23" s="19" t="n"/>
      <c r="J23" s="19" t="n"/>
    </row>
    <row r="24" ht="22" customHeight="1">
      <c r="A24" s="17" t="n"/>
      <c r="B24" s="18" t="n"/>
      <c r="C24" s="18" t="n"/>
      <c r="D24" s="17" t="n"/>
      <c r="E24" s="17" t="n"/>
      <c r="F24" s="18" t="n"/>
      <c r="G24" s="17" t="n"/>
      <c r="H24" s="17" t="n"/>
      <c r="I24" s="17" t="n"/>
      <c r="J24" s="17" t="n"/>
    </row>
    <row r="25" ht="22" customHeight="1">
      <c r="A25" s="19" t="n"/>
      <c r="B25" s="20" t="n"/>
      <c r="C25" s="20" t="n"/>
      <c r="D25" s="19" t="n"/>
      <c r="E25" s="19" t="n"/>
      <c r="F25" s="20" t="n"/>
      <c r="G25" s="19" t="n"/>
      <c r="H25" s="19" t="n"/>
      <c r="I25" s="19" t="n"/>
      <c r="J25" s="19" t="n"/>
    </row>
    <row r="26" ht="22" customHeight="1">
      <c r="A26" s="17" t="n"/>
      <c r="B26" s="18" t="n"/>
      <c r="C26" s="18" t="n"/>
      <c r="D26" s="17" t="n"/>
      <c r="E26" s="17" t="n"/>
      <c r="F26" s="18" t="n"/>
      <c r="G26" s="17" t="n"/>
      <c r="H26" s="17" t="n"/>
      <c r="I26" s="17" t="n"/>
      <c r="J26" s="17" t="n"/>
    </row>
    <row r="27" ht="22" customHeight="1">
      <c r="A27" s="19" t="n"/>
      <c r="B27" s="20" t="n"/>
      <c r="C27" s="20" t="n"/>
      <c r="D27" s="19" t="n"/>
      <c r="E27" s="19" t="n"/>
      <c r="F27" s="20" t="n"/>
      <c r="G27" s="19" t="n"/>
      <c r="H27" s="19" t="n"/>
      <c r="I27" s="19" t="n"/>
      <c r="J27" s="19" t="n"/>
    </row>
    <row r="28" ht="22" customHeight="1">
      <c r="A28" s="17" t="n"/>
      <c r="B28" s="18" t="n"/>
      <c r="C28" s="18" t="n"/>
      <c r="D28" s="17" t="n"/>
      <c r="E28" s="17" t="n"/>
      <c r="F28" s="18" t="n"/>
      <c r="G28" s="17" t="n"/>
      <c r="H28" s="17" t="n"/>
      <c r="I28" s="17" t="n"/>
      <c r="J28" s="17" t="n"/>
    </row>
    <row r="29" ht="22" customHeight="1">
      <c r="A29" s="19" t="n"/>
      <c r="B29" s="20" t="n"/>
      <c r="C29" s="20" t="n"/>
      <c r="D29" s="19" t="n"/>
      <c r="E29" s="19" t="n"/>
      <c r="F29" s="20" t="n"/>
      <c r="G29" s="19" t="n"/>
      <c r="H29" s="19" t="n"/>
      <c r="I29" s="19" t="n"/>
      <c r="J29" s="19" t="n"/>
    </row>
    <row r="30" ht="22" customHeight="1">
      <c r="A30" s="17" t="n"/>
      <c r="B30" s="18" t="n"/>
      <c r="C30" s="18" t="n"/>
      <c r="D30" s="17" t="n"/>
      <c r="E30" s="17" t="n"/>
      <c r="F30" s="18" t="n"/>
      <c r="G30" s="17" t="n"/>
      <c r="H30" s="17" t="n"/>
      <c r="I30" s="17" t="n"/>
      <c r="J30" s="17" t="n"/>
    </row>
    <row r="31" ht="22" customHeight="1">
      <c r="A31" s="19" t="n"/>
      <c r="B31" s="20" t="n"/>
      <c r="C31" s="20" t="n"/>
      <c r="D31" s="19" t="n"/>
      <c r="E31" s="19" t="n"/>
      <c r="F31" s="20" t="n"/>
      <c r="G31" s="19" t="n"/>
      <c r="H31" s="19" t="n"/>
      <c r="I31" s="19" t="n"/>
      <c r="J31" s="19" t="n"/>
    </row>
    <row r="32" ht="22" customHeight="1">
      <c r="A32" s="17" t="n"/>
      <c r="B32" s="18" t="n"/>
      <c r="C32" s="18" t="n"/>
      <c r="D32" s="17" t="n"/>
      <c r="E32" s="17" t="n"/>
      <c r="F32" s="18" t="n"/>
      <c r="G32" s="17" t="n"/>
      <c r="H32" s="17" t="n"/>
      <c r="I32" s="17" t="n"/>
      <c r="J32" s="17" t="n"/>
    </row>
    <row r="33" ht="22" customHeight="1">
      <c r="A33" s="19" t="n"/>
      <c r="B33" s="20" t="n"/>
      <c r="C33" s="20" t="n"/>
      <c r="D33" s="19" t="n"/>
      <c r="E33" s="19" t="n"/>
      <c r="F33" s="20" t="n"/>
      <c r="G33" s="19" t="n"/>
      <c r="H33" s="19" t="n"/>
      <c r="I33" s="19" t="n"/>
      <c r="J33" s="19" t="n"/>
    </row>
    <row r="34" ht="22" customHeight="1">
      <c r="A34" s="17" t="n"/>
      <c r="B34" s="18" t="n"/>
      <c r="C34" s="18" t="n"/>
      <c r="D34" s="17" t="n"/>
      <c r="E34" s="17" t="n"/>
      <c r="F34" s="18" t="n"/>
      <c r="G34" s="17" t="n"/>
      <c r="H34" s="17" t="n"/>
      <c r="I34" s="17" t="n"/>
      <c r="J34" s="17" t="n"/>
    </row>
    <row r="35" ht="22" customHeight="1">
      <c r="A35" s="19" t="n"/>
      <c r="B35" s="20" t="n"/>
      <c r="C35" s="20" t="n"/>
      <c r="D35" s="19" t="n"/>
      <c r="E35" s="19" t="n"/>
      <c r="F35" s="20" t="n"/>
      <c r="G35" s="19" t="n"/>
      <c r="H35" s="19" t="n"/>
      <c r="I35" s="19" t="n"/>
      <c r="J35" s="19" t="n"/>
    </row>
    <row r="36" ht="22" customHeight="1">
      <c r="A36" s="17" t="n"/>
      <c r="B36" s="18" t="n"/>
      <c r="C36" s="18" t="n"/>
      <c r="D36" s="17" t="n"/>
      <c r="E36" s="17" t="n"/>
      <c r="F36" s="18" t="n"/>
      <c r="G36" s="17" t="n"/>
      <c r="H36" s="17" t="n"/>
      <c r="I36" s="17" t="n"/>
      <c r="J36" s="17" t="n"/>
    </row>
    <row r="37" ht="22" customHeight="1">
      <c r="A37" s="19" t="n"/>
      <c r="B37" s="20" t="n"/>
      <c r="C37" s="20" t="n"/>
      <c r="D37" s="19" t="n"/>
      <c r="E37" s="19" t="n"/>
      <c r="F37" s="20" t="n"/>
      <c r="G37" s="19" t="n"/>
      <c r="H37" s="19" t="n"/>
      <c r="I37" s="19" t="n"/>
      <c r="J37" s="19" t="n"/>
    </row>
    <row r="38" ht="22" customHeight="1">
      <c r="A38" s="17" t="n"/>
      <c r="B38" s="18" t="n"/>
      <c r="C38" s="18" t="n"/>
      <c r="D38" s="17" t="n"/>
      <c r="E38" s="17" t="n"/>
      <c r="F38" s="18" t="n"/>
      <c r="G38" s="17" t="n"/>
      <c r="H38" s="17" t="n"/>
      <c r="I38" s="17" t="n"/>
      <c r="J38" s="17" t="n"/>
    </row>
    <row r="39" ht="22" customHeight="1">
      <c r="A39" s="19" t="n"/>
      <c r="B39" s="20" t="n"/>
      <c r="C39" s="20" t="n"/>
      <c r="D39" s="19" t="n"/>
      <c r="E39" s="19" t="n"/>
      <c r="F39" s="20" t="n"/>
      <c r="G39" s="19" t="n"/>
      <c r="H39" s="19" t="n"/>
      <c r="I39" s="19" t="n"/>
      <c r="J39" s="19" t="n"/>
    </row>
    <row r="40" ht="22" customHeight="1">
      <c r="A40" s="17" t="n"/>
      <c r="B40" s="18" t="n"/>
      <c r="C40" s="18" t="n"/>
      <c r="D40" s="17" t="n"/>
      <c r="E40" s="17" t="n"/>
      <c r="F40" s="18" t="n"/>
      <c r="G40" s="17" t="n"/>
      <c r="H40" s="17" t="n"/>
      <c r="I40" s="17" t="n"/>
      <c r="J40" s="17" t="n"/>
    </row>
    <row r="41" ht="22" customHeight="1">
      <c r="A41" s="19" t="n"/>
      <c r="B41" s="20" t="n"/>
      <c r="C41" s="20" t="n"/>
      <c r="D41" s="19" t="n"/>
      <c r="E41" s="19" t="n"/>
      <c r="F41" s="20" t="n"/>
      <c r="G41" s="19" t="n"/>
      <c r="H41" s="19" t="n"/>
      <c r="I41" s="19" t="n"/>
      <c r="J41" s="19" t="n"/>
    </row>
    <row r="42" ht="22" customHeight="1">
      <c r="A42" s="17" t="n"/>
      <c r="B42" s="18" t="n"/>
      <c r="C42" s="18" t="n"/>
      <c r="D42" s="17" t="n"/>
      <c r="E42" s="17" t="n"/>
      <c r="F42" s="18" t="n"/>
      <c r="G42" s="17" t="n"/>
      <c r="H42" s="17" t="n"/>
      <c r="I42" s="17" t="n"/>
      <c r="J42" s="17" t="n"/>
    </row>
    <row r="43" ht="22" customHeight="1">
      <c r="A43" s="19" t="n"/>
      <c r="B43" s="20" t="n"/>
      <c r="C43" s="20" t="n"/>
      <c r="D43" s="19" t="n"/>
      <c r="E43" s="19" t="n"/>
      <c r="F43" s="20" t="n"/>
      <c r="G43" s="19" t="n"/>
      <c r="H43" s="19" t="n"/>
      <c r="I43" s="19" t="n"/>
      <c r="J43" s="19" t="n"/>
    </row>
    <row r="44" ht="22" customHeight="1">
      <c r="A44" s="17" t="n"/>
      <c r="B44" s="18" t="n"/>
      <c r="C44" s="18" t="n"/>
      <c r="D44" s="17" t="n"/>
      <c r="E44" s="17" t="n"/>
      <c r="F44" s="18" t="n"/>
      <c r="G44" s="17" t="n"/>
      <c r="H44" s="17" t="n"/>
      <c r="I44" s="17" t="n"/>
      <c r="J44" s="17" t="n"/>
    </row>
    <row r="45" ht="22" customHeight="1">
      <c r="A45" s="19" t="n"/>
      <c r="B45" s="20" t="n"/>
      <c r="C45" s="20" t="n"/>
      <c r="D45" s="19" t="n"/>
      <c r="E45" s="19" t="n"/>
      <c r="F45" s="20" t="n"/>
      <c r="G45" s="19" t="n"/>
      <c r="H45" s="19" t="n"/>
      <c r="I45" s="19" t="n"/>
      <c r="J45" s="19" t="n"/>
    </row>
    <row r="46" ht="22" customHeight="1">
      <c r="A46" s="17" t="n"/>
      <c r="B46" s="18" t="n"/>
      <c r="C46" s="18" t="n"/>
      <c r="D46" s="17" t="n"/>
      <c r="E46" s="17" t="n"/>
      <c r="F46" s="18" t="n"/>
      <c r="G46" s="17" t="n"/>
      <c r="H46" s="17" t="n"/>
      <c r="I46" s="17" t="n"/>
      <c r="J46" s="17" t="n"/>
    </row>
    <row r="47" ht="22" customHeight="1">
      <c r="A47" s="19" t="n"/>
      <c r="B47" s="20" t="n"/>
      <c r="C47" s="20" t="n"/>
      <c r="D47" s="19" t="n"/>
      <c r="E47" s="19" t="n"/>
      <c r="F47" s="20" t="n"/>
      <c r="G47" s="19" t="n"/>
      <c r="H47" s="19" t="n"/>
      <c r="I47" s="19" t="n"/>
      <c r="J47" s="19" t="n"/>
    </row>
    <row r="48" ht="22" customHeight="1">
      <c r="A48" s="17" t="n"/>
      <c r="B48" s="18" t="n"/>
      <c r="C48" s="18" t="n"/>
      <c r="D48" s="17" t="n"/>
      <c r="E48" s="17" t="n"/>
      <c r="F48" s="18" t="n"/>
      <c r="G48" s="17" t="n"/>
      <c r="H48" s="17" t="n"/>
      <c r="I48" s="17" t="n"/>
      <c r="J48" s="17" t="n"/>
    </row>
    <row r="49" ht="22" customHeight="1">
      <c r="A49" s="19" t="n"/>
      <c r="B49" s="20" t="n"/>
      <c r="C49" s="20" t="n"/>
      <c r="D49" s="19" t="n"/>
      <c r="E49" s="19" t="n"/>
      <c r="F49" s="20" t="n"/>
      <c r="G49" s="19" t="n"/>
      <c r="H49" s="19" t="n"/>
      <c r="I49" s="19" t="n"/>
      <c r="J49" s="19" t="n"/>
    </row>
    <row r="50" ht="22" customHeight="1">
      <c r="A50" s="17" t="n"/>
      <c r="B50" s="18" t="n"/>
      <c r="C50" s="18" t="n"/>
      <c r="D50" s="17" t="n"/>
      <c r="E50" s="17" t="n"/>
      <c r="F50" s="18" t="n"/>
      <c r="G50" s="17" t="n"/>
      <c r="H50" s="17" t="n"/>
      <c r="I50" s="17" t="n"/>
      <c r="J50" s="17" t="n"/>
    </row>
    <row r="51" ht="22" customHeight="1">
      <c r="A51" s="19" t="n"/>
      <c r="B51" s="20" t="n"/>
      <c r="C51" s="20" t="n"/>
      <c r="D51" s="19" t="n"/>
      <c r="E51" s="19" t="n"/>
      <c r="F51" s="20" t="n"/>
      <c r="G51" s="19" t="n"/>
      <c r="H51" s="19" t="n"/>
      <c r="I51" s="19" t="n"/>
      <c r="J51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0" customWidth="1" min="4" max="4"/>
    <col width="14" customWidth="1" min="5" max="5"/>
    <col width="14" customWidth="1" min="6" max="6"/>
    <col width="10" customWidth="1" min="7" max="7"/>
    <col width="30" customWidth="1" min="8" max="8"/>
  </cols>
  <sheetData>
    <row r="1" ht="30" customHeight="1">
      <c r="A1" s="16" t="inlineStr">
        <is>
          <t>Run #</t>
        </is>
      </c>
      <c r="B1" s="16" t="inlineStr">
        <is>
          <t>Agent</t>
        </is>
      </c>
      <c r="C1" s="16" t="inlineStr">
        <is>
          <t>Run Date</t>
        </is>
      </c>
      <c r="D1" s="16" t="inlineStr">
        <is>
          <t>Environment</t>
        </is>
      </c>
      <c r="E1" s="16" t="inlineStr">
        <is>
          <t>Total</t>
        </is>
      </c>
      <c r="F1" s="16" t="inlineStr">
        <is>
          <t>Passed</t>
        </is>
      </c>
      <c r="G1" s="16" t="inlineStr">
        <is>
          <t>Pass %</t>
        </is>
      </c>
      <c r="H1" s="16" t="inlineStr">
        <is>
          <t>Notes</t>
        </is>
      </c>
    </row>
    <row r="2" ht="22" customHeight="1">
      <c r="A2" s="21" t="n"/>
      <c r="B2" s="21" t="n"/>
      <c r="C2" s="21" t="n"/>
      <c r="D2" s="21" t="n"/>
      <c r="E2" s="21" t="n"/>
      <c r="F2" s="21" t="n"/>
      <c r="G2" s="21" t="n"/>
      <c r="H2" s="21" t="n"/>
    </row>
    <row r="3" ht="22" customHeight="1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22" customHeight="1">
      <c r="A4" s="21" t="n"/>
      <c r="B4" s="21" t="n"/>
      <c r="C4" s="21" t="n"/>
      <c r="D4" s="21" t="n"/>
      <c r="E4" s="21" t="n"/>
      <c r="F4" s="21" t="n"/>
      <c r="G4" s="21" t="n"/>
      <c r="H4" s="21" t="n"/>
    </row>
    <row r="5" ht="22" customHeight="1">
      <c r="A5" s="22" t="n"/>
      <c r="B5" s="22" t="n"/>
      <c r="C5" s="22" t="n"/>
      <c r="D5" s="22" t="n"/>
      <c r="E5" s="22" t="n"/>
      <c r="F5" s="22" t="n"/>
      <c r="G5" s="22" t="n"/>
      <c r="H5" s="22" t="n"/>
    </row>
    <row r="6" ht="22" customHeight="1">
      <c r="A6" s="21" t="n"/>
      <c r="B6" s="21" t="n"/>
      <c r="C6" s="21" t="n"/>
      <c r="D6" s="21" t="n"/>
      <c r="E6" s="21" t="n"/>
      <c r="F6" s="21" t="n"/>
      <c r="G6" s="21" t="n"/>
      <c r="H6" s="21" t="n"/>
    </row>
    <row r="7" ht="22" customHeight="1">
      <c r="A7" s="22" t="n"/>
      <c r="B7" s="22" t="n"/>
      <c r="C7" s="22" t="n"/>
      <c r="D7" s="22" t="n"/>
      <c r="E7" s="22" t="n"/>
      <c r="F7" s="22" t="n"/>
      <c r="G7" s="22" t="n"/>
      <c r="H7" s="22" t="n"/>
    </row>
    <row r="8" ht="22" customHeight="1">
      <c r="A8" s="21" t="n"/>
      <c r="B8" s="21" t="n"/>
      <c r="C8" s="21" t="n"/>
      <c r="D8" s="21" t="n"/>
      <c r="E8" s="21" t="n"/>
      <c r="F8" s="21" t="n"/>
      <c r="G8" s="21" t="n"/>
      <c r="H8" s="21" t="n"/>
    </row>
    <row r="9" ht="22" customHeight="1">
      <c r="A9" s="22" t="n"/>
      <c r="B9" s="22" t="n"/>
      <c r="C9" s="22" t="n"/>
      <c r="D9" s="22" t="n"/>
      <c r="E9" s="22" t="n"/>
      <c r="F9" s="22" t="n"/>
      <c r="G9" s="22" t="n"/>
      <c r="H9" s="22" t="n"/>
    </row>
    <row r="10" ht="22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</row>
    <row r="11" ht="22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 ht="22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</row>
    <row r="13" ht="22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</row>
    <row r="14" ht="22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</row>
    <row r="15" ht="22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 ht="22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</row>
    <row r="17" ht="22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</row>
    <row r="18" ht="22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</row>
    <row r="19" ht="22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 ht="22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 ht="22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25" customWidth="1" min="4" max="4"/>
  </cols>
  <sheetData>
    <row r="1" ht="35" customHeight="1">
      <c r="A1" s="23" t="inlineStr">
        <is>
          <t>VIVID CRM — SQA TEST DATA REFERENCE</t>
        </is>
      </c>
    </row>
    <row r="2" ht="22" customHeight="1">
      <c r="A2" s="24" t="inlineStr">
        <is>
          <t>CATEGORY</t>
        </is>
      </c>
      <c r="B2" s="24" t="inlineStr">
        <is>
          <t>VALUE</t>
        </is>
      </c>
      <c r="C2" s="24" t="inlineStr">
        <is>
          <t>NOTES</t>
        </is>
      </c>
      <c r="D2" s="24" t="n"/>
    </row>
    <row r="3" ht="20" customHeight="1">
      <c r="A3" s="25" t="inlineStr">
        <is>
          <t>── SERVICES ─────────────────────────────────────────────────────────────────</t>
        </is>
      </c>
      <c r="B3" s="25" t="inlineStr"/>
      <c r="C3" s="25" t="inlineStr"/>
      <c r="D3" s="25" t="n"/>
    </row>
    <row r="4" ht="22" customHeight="1">
      <c r="A4" s="24" t="inlineStr">
        <is>
          <t>API Base URL</t>
        </is>
      </c>
      <c r="B4" s="24" t="inlineStr">
        <is>
          <t>http://localhost:3000</t>
        </is>
      </c>
      <c r="C4" s="24" t="inlineStr">
        <is>
          <t>Dev environment</t>
        </is>
      </c>
      <c r="D4" s="24" t="n"/>
    </row>
    <row r="5" ht="22" customHeight="1">
      <c r="A5" s="26" t="inlineStr">
        <is>
          <t>Frontend URL</t>
        </is>
      </c>
      <c r="B5" s="26" t="inlineStr">
        <is>
          <t>http://localhost:5173</t>
        </is>
      </c>
      <c r="C5" s="26" t="inlineStr">
        <is>
          <t>Vite dev server</t>
        </is>
      </c>
      <c r="D5" s="26" t="n"/>
    </row>
    <row r="6" ht="22" customHeight="1">
      <c r="A6" s="24" t="inlineStr">
        <is>
          <t>Swagger Docs</t>
        </is>
      </c>
      <c r="B6" s="24" t="inlineStr">
        <is>
          <t>http://localhost:3000/docs</t>
        </is>
      </c>
      <c r="C6" s="24" t="inlineStr">
        <is>
          <t>OpenAPI UI</t>
        </is>
      </c>
      <c r="D6" s="24" t="n"/>
    </row>
    <row r="7" ht="22" customHeight="1">
      <c r="A7" s="26" t="inlineStr">
        <is>
          <t>DB Connection</t>
        </is>
      </c>
      <c r="B7" s="26" t="inlineStr">
        <is>
          <t>postgresql://crm:crm_dev_password@localhost:5432/crm_platform</t>
        </is>
      </c>
      <c r="C7" s="26" t="inlineStr">
        <is>
          <t>Dev DB</t>
        </is>
      </c>
      <c r="D7" s="26" t="n"/>
    </row>
    <row r="8" ht="20" customHeight="1">
      <c r="A8" s="25" t="inlineStr">
        <is>
          <t>── SUPER ADMIN ──────────────────────────────────────────────────────────────</t>
        </is>
      </c>
      <c r="B8" s="25" t="inlineStr"/>
      <c r="C8" s="25" t="inlineStr"/>
      <c r="D8" s="25" t="n"/>
    </row>
    <row r="9" ht="22" customHeight="1">
      <c r="A9" s="26" t="inlineStr">
        <is>
          <t>Super Admin Email</t>
        </is>
      </c>
      <c r="B9" s="26" t="inlineStr">
        <is>
          <t>admin@demo.com</t>
        </is>
      </c>
      <c r="C9" s="26" t="inlineStr">
        <is>
          <t>In demo workspace</t>
        </is>
      </c>
      <c r="D9" s="26" t="n"/>
    </row>
    <row r="10" ht="22" customHeight="1">
      <c r="A10" s="24" t="inlineStr">
        <is>
          <t>Super Admin Password</t>
        </is>
      </c>
      <c r="B10" s="24" t="inlineStr">
        <is>
          <t>Vivid@Solutions1</t>
        </is>
      </c>
      <c r="C10" s="24" t="inlineStr">
        <is>
          <t>Default dev credentials</t>
        </is>
      </c>
      <c r="D10" s="24" t="n"/>
    </row>
    <row r="11" ht="22" customHeight="1">
      <c r="A11" s="26" t="inlineStr">
        <is>
          <t>Super Admin Slug</t>
        </is>
      </c>
      <c r="B11" s="26" t="inlineStr">
        <is>
          <t>demo</t>
        </is>
      </c>
      <c r="C11" s="26" t="inlineStr">
        <is>
          <t>Banking sector workspace</t>
        </is>
      </c>
      <c r="D11" s="26" t="n"/>
    </row>
    <row r="12" ht="20" customHeight="1">
      <c r="A12" s="25" t="inlineStr">
        <is>
          <t>── ALPHA BANK (Full-featured) ───────────────────────────────────────────────</t>
        </is>
      </c>
      <c r="B12" s="25" t="inlineStr"/>
      <c r="C12" s="25" t="inlineStr"/>
      <c r="D12" s="25" t="n"/>
    </row>
    <row r="13" ht="22" customHeight="1">
      <c r="A13" s="26" t="inlineStr">
        <is>
          <t>Slug</t>
        </is>
      </c>
      <c r="B13" s="26" t="inlineStr">
        <is>
          <t>sqa-alpha-bank</t>
        </is>
      </c>
      <c r="C13" s="26" t="inlineStr">
        <is>
          <t>Banking sector, Professional plan</t>
        </is>
      </c>
      <c r="D13" s="26" t="n"/>
    </row>
    <row r="14" ht="22" customHeight="1">
      <c r="A14" s="24" t="inlineStr">
        <is>
          <t>Admin Email</t>
        </is>
      </c>
      <c r="B14" s="24" t="inlineStr">
        <is>
          <t>admin@alpha-bank-sqa.com</t>
        </is>
      </c>
      <c r="C14" s="24" t="inlineStr">
        <is>
          <t>Created by SQA Agent 01</t>
        </is>
      </c>
      <c r="D14" s="24" t="n"/>
    </row>
    <row r="15" ht="22" customHeight="1">
      <c r="A15" s="26" t="inlineStr">
        <is>
          <t>Admin Password</t>
        </is>
      </c>
      <c r="B15" s="26" t="inlineStr">
        <is>
          <t>Admin@Alpha2026!</t>
        </is>
      </c>
      <c r="C15" s="26" t="inlineStr">
        <is>
          <t>Test credential</t>
        </is>
      </c>
      <c r="D15" s="26" t="n"/>
    </row>
    <row r="16" ht="22" customHeight="1">
      <c r="A16" s="24" t="inlineStr">
        <is>
          <t>Modules</t>
        </is>
      </c>
      <c r="B16" s="24" t="inlineStr">
        <is>
          <t>crm, ticketing, analytics, emails</t>
        </is>
      </c>
      <c r="C16" s="24" t="inlineStr">
        <is>
          <t>Licensed by super admin</t>
        </is>
      </c>
      <c r="D16" s="24" t="n"/>
    </row>
    <row r="17" ht="20" customHeight="1">
      <c r="A17" s="25" t="inlineStr">
        <is>
          <t>── BETA BANK (Limited) ──────────────────────────────────────────────────────</t>
        </is>
      </c>
      <c r="B17" s="25" t="inlineStr"/>
      <c r="C17" s="25" t="inlineStr"/>
      <c r="D17" s="25" t="n"/>
    </row>
    <row r="18" ht="22" customHeight="1">
      <c r="A18" s="24" t="inlineStr">
        <is>
          <t>Slug</t>
        </is>
      </c>
      <c r="B18" s="24" t="inlineStr">
        <is>
          <t>sqa-beta-bank</t>
        </is>
      </c>
      <c r="C18" s="24" t="inlineStr">
        <is>
          <t>Banking sector, Starter plan</t>
        </is>
      </c>
      <c r="D18" s="24" t="n"/>
    </row>
    <row r="19" ht="22" customHeight="1">
      <c r="A19" s="26" t="inlineStr">
        <is>
          <t>Admin Email</t>
        </is>
      </c>
      <c r="B19" s="26" t="inlineStr">
        <is>
          <t>admin@beta-bank-sqa.com</t>
        </is>
      </c>
      <c r="C19" s="26" t="inlineStr">
        <is>
          <t>Created by SQA Agent 01</t>
        </is>
      </c>
      <c r="D19" s="26" t="n"/>
    </row>
    <row r="20" ht="22" customHeight="1">
      <c r="A20" s="24" t="inlineStr">
        <is>
          <t>Admin Password</t>
        </is>
      </c>
      <c r="B20" s="24" t="inlineStr">
        <is>
          <t>Admin@Beta2026!</t>
        </is>
      </c>
      <c r="C20" s="24" t="inlineStr">
        <is>
          <t>Test credential</t>
        </is>
      </c>
      <c r="D20" s="24" t="n"/>
    </row>
    <row r="21" ht="22" customHeight="1">
      <c r="A21" s="26" t="inlineStr">
        <is>
          <t>Modules</t>
        </is>
      </c>
      <c r="B21" s="26" t="inlineStr">
        <is>
          <t>crm, ticketing</t>
        </is>
      </c>
      <c r="C21" s="26" t="inlineStr">
        <is>
          <t>Starter plan limitation</t>
        </is>
      </c>
      <c r="D21" s="26" t="n"/>
    </row>
    <row r="22" ht="20" customHeight="1">
      <c r="A22" s="25" t="inlineStr">
        <is>
          <t>── TEST USERS (same password for all) ─────────────────────────────────────</t>
        </is>
      </c>
      <c r="B22" s="25" t="inlineStr"/>
      <c r="C22" s="25" t="inlineStr"/>
      <c r="D22" s="25" t="n"/>
    </row>
    <row r="23" ht="22" customHeight="1">
      <c r="A23" s="26" t="inlineStr">
        <is>
          <t>Test Password</t>
        </is>
      </c>
      <c r="B23" s="26" t="inlineStr">
        <is>
          <t>Test@CRM2026!</t>
        </is>
      </c>
      <c r="C23" s="26" t="inlineStr">
        <is>
          <t>All invited users</t>
        </is>
      </c>
      <c r="D23" s="26" t="n"/>
    </row>
    <row r="24" ht="22" customHeight="1">
      <c r="A24" s="24" t="inlineStr">
        <is>
          <t>Retail Manager</t>
        </is>
      </c>
      <c r="B24" s="24" t="inlineStr">
        <is>
          <t>mgr.retail.[alpha|beta]@sqa-vivid.com</t>
        </is>
      </c>
      <c r="C24" s="24" t="inlineStr">
        <is>
          <t>role=manager</t>
        </is>
      </c>
      <c r="D24" s="24" t="n"/>
    </row>
    <row r="25" ht="22" customHeight="1">
      <c r="A25" s="26" t="inlineStr">
        <is>
          <t>Retail Asst Mgr</t>
        </is>
      </c>
      <c r="B25" s="26" t="inlineStr">
        <is>
          <t>am.retail.[alpha|beta]@sqa-vivid.com</t>
        </is>
      </c>
      <c r="C25" s="26" t="inlineStr">
        <is>
          <t>role=agent</t>
        </is>
      </c>
      <c r="D25" s="26" t="n"/>
    </row>
    <row r="26" ht="22" customHeight="1">
      <c r="A26" s="24" t="inlineStr">
        <is>
          <t>Retail Executive</t>
        </is>
      </c>
      <c r="B26" s="24" t="inlineStr">
        <is>
          <t>exec.retail.[alpha|beta]@sqa-vivid.com</t>
        </is>
      </c>
      <c r="C26" s="24" t="inlineStr">
        <is>
          <t>role=agent</t>
        </is>
      </c>
      <c r="D26" s="24" t="n"/>
    </row>
    <row r="27" ht="22" customHeight="1">
      <c r="A27" s="26" t="inlineStr">
        <is>
          <t>Loans Manager</t>
        </is>
      </c>
      <c r="B27" s="26" t="inlineStr">
        <is>
          <t>mgr.loans.[alpha|beta]@sqa-vivid.com</t>
        </is>
      </c>
      <c r="C27" s="26" t="inlineStr">
        <is>
          <t>role=manager</t>
        </is>
      </c>
      <c r="D27" s="26" t="n"/>
    </row>
    <row r="28" ht="22" customHeight="1">
      <c r="A28" s="24" t="inlineStr">
        <is>
          <t>Support Manager</t>
        </is>
      </c>
      <c r="B28" s="24" t="inlineStr">
        <is>
          <t>mgr.support.[alpha|beta]@sqa-vivid.com</t>
        </is>
      </c>
      <c r="C28" s="24" t="inlineStr">
        <is>
          <t>role=manager</t>
        </is>
      </c>
      <c r="D28" s="24" t="n"/>
    </row>
    <row r="29" ht="22" customHeight="1">
      <c r="A29" s="26" t="inlineStr">
        <is>
          <t>Support Agent 1</t>
        </is>
      </c>
      <c r="B29" s="26" t="inlineStr">
        <is>
          <t>agent1.support.[alpha|beta]@sqa-vivid.com</t>
        </is>
      </c>
      <c r="C29" s="26" t="inlineStr">
        <is>
          <t>role=agent</t>
        </is>
      </c>
      <c r="D29" s="26" t="n"/>
    </row>
    <row r="30" ht="22" customHeight="1">
      <c r="A30" s="24" t="inlineStr">
        <is>
          <t>Compliance Viewer</t>
        </is>
      </c>
      <c r="B30" s="24" t="inlineStr">
        <is>
          <t>viewer.compliance.[alpha|beta]@sqa-vivid.com</t>
        </is>
      </c>
      <c r="C30" s="24" t="inlineStr">
        <is>
          <t>role=viewer</t>
        </is>
      </c>
      <c r="D30" s="24" t="n"/>
    </row>
    <row r="31" ht="20" customHeight="1">
      <c r="A31" s="25" t="inlineStr">
        <is>
          <t>── PASSWORD POLICY ─────────────────────────────────────────────────────────</t>
        </is>
      </c>
      <c r="B31" s="25" t="inlineStr"/>
      <c r="C31" s="25" t="inlineStr"/>
      <c r="D31" s="25" t="n"/>
    </row>
    <row r="32" ht="22" customHeight="1">
      <c r="A32" s="24" t="inlineStr">
        <is>
          <t>Min Length</t>
        </is>
      </c>
      <c r="B32" s="24" t="inlineStr">
        <is>
          <t>10 characters</t>
        </is>
      </c>
      <c r="C32" s="24" t="inlineStr">
        <is>
          <t>BCRYPT cost 14</t>
        </is>
      </c>
      <c r="D32" s="24" t="n"/>
    </row>
    <row r="33" ht="22" customHeight="1">
      <c r="A33" s="26" t="inlineStr">
        <is>
          <t>Requirements</t>
        </is>
      </c>
      <c r="B33" s="26" t="inlineStr">
        <is>
          <t>Upper + Lower + Digit + Special</t>
        </is>
      </c>
      <c r="C33" s="26" t="inlineStr">
        <is>
          <t>Enterprise policy</t>
        </is>
      </c>
      <c r="D33" s="26" t="n"/>
    </row>
    <row r="34" ht="22" customHeight="1">
      <c r="A34" s="24" t="inlineStr">
        <is>
          <t>Lockout</t>
        </is>
      </c>
      <c r="B34" s="24" t="inlineStr">
        <is>
          <t>5 failed attempts → 15min lockout</t>
        </is>
      </c>
      <c r="C34" s="24" t="inlineStr">
        <is>
          <t>Redis-backed</t>
        </is>
      </c>
      <c r="D34" s="2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2026-06-10T16:28:42Z</dcterms:created>
  <dcterms:modified xmlns:dcterms="http://purl.org/dc/terms/" xmlns:xsi="http://www.w3.org/2001/XMLSchema-instance" xsi:type="dcterms:W3CDTF">2026-06-10T16:28:43Z</dcterms:modified>
</cp:coreProperties>
</file>